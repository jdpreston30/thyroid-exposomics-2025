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Supplementary Construction/thyroid-exposomics-2025/Data and Metadata Files/"/>
    </mc:Choice>
  </mc:AlternateContent>
  <xr:revisionPtr revIDLastSave="1859" documentId="8_{33B700DF-FF67-324F-BB4B-0832415A98A4}" xr6:coauthVersionLast="47" xr6:coauthVersionMax="47" xr10:uidLastSave="{43D39CCA-D21C-3947-88D3-763F8ECA8E37}"/>
  <bookViews>
    <workbookView xWindow="0" yWindow="480" windowWidth="38400" windowHeight="21120" activeTab="4" xr2:uid="{38694305-9953-1543-82C7-25F6E2837467}"/>
  </bookViews>
  <sheets>
    <sheet name="ST1_raw" sheetId="7" r:id="rId1"/>
    <sheet name="ST2_raw" sheetId="2" r:id="rId2"/>
    <sheet name="ST3_raw" sheetId="5" r:id="rId3"/>
    <sheet name="ST4_raw" sheetId="4" r:id="rId4"/>
    <sheet name="Abbreviations" sheetId="8" r:id="rId5"/>
  </sheets>
  <definedNames>
    <definedName name="_xlnm._FilterDatabase" localSheetId="4" hidden="1">Abbreviations!$A$1:$C$883</definedName>
    <definedName name="_xlnm._FilterDatabase" localSheetId="0" hidden="1">ST1_raw!$A$1:$M$893</definedName>
    <definedName name="_xlnm._FilterDatabase" localSheetId="2" hidden="1">ST3_raw!$A$1:$J$30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8" l="1"/>
  <c r="C51" i="8"/>
  <c r="C50" i="8"/>
  <c r="C48" i="8"/>
  <c r="C53" i="8"/>
  <c r="C55" i="8"/>
  <c r="C56" i="8"/>
  <c r="C61" i="8"/>
  <c r="C57" i="8"/>
  <c r="C64" i="8"/>
  <c r="C65" i="8"/>
  <c r="C60" i="8"/>
  <c r="C62" i="8"/>
  <c r="C63" i="8"/>
  <c r="C66" i="8"/>
  <c r="C4" i="8"/>
  <c r="C17" i="8"/>
  <c r="C19" i="8"/>
  <c r="C22" i="8"/>
  <c r="C23" i="8"/>
  <c r="C24" i="8"/>
  <c r="C25" i="8"/>
  <c r="C31" i="8"/>
  <c r="C36" i="8"/>
  <c r="C49" i="8"/>
  <c r="C52" i="8"/>
  <c r="C58" i="8"/>
  <c r="C59" i="8"/>
  <c r="C39" i="8"/>
  <c r="C37" i="8"/>
  <c r="C54" i="8"/>
  <c r="C30" i="8"/>
  <c r="C28" i="8"/>
  <c r="C29" i="8"/>
  <c r="C34" i="8"/>
  <c r="C35" i="8"/>
  <c r="C33" i="8"/>
  <c r="C20" i="8"/>
  <c r="C40" i="8"/>
  <c r="C41" i="8"/>
  <c r="C42" i="8"/>
  <c r="C44" i="8"/>
  <c r="C45" i="8"/>
  <c r="C46" i="8"/>
  <c r="C26" i="8"/>
  <c r="C27" i="8"/>
  <c r="C32" i="8"/>
  <c r="C43" i="8"/>
  <c r="C13" i="8"/>
  <c r="C47" i="8"/>
  <c r="C21" i="8"/>
  <c r="C38" i="8"/>
  <c r="C2" i="8"/>
  <c r="C3" i="8"/>
  <c r="C5" i="8"/>
  <c r="C8" i="8"/>
  <c r="C7" i="8"/>
  <c r="C9" i="8"/>
  <c r="C10" i="8"/>
  <c r="C11" i="8"/>
  <c r="C14" i="8"/>
  <c r="C15" i="8"/>
  <c r="C16" i="8"/>
  <c r="C12" i="8"/>
  <c r="C18" i="8"/>
  <c r="C6" i="8"/>
  <c r="C198" i="4"/>
  <c r="C249" i="4" l="1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7" i="4"/>
  <c r="C196" i="4"/>
  <c r="C195" i="4"/>
  <c r="C194" i="4"/>
  <c r="C193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<sst xmlns="http://schemas.openxmlformats.org/spreadsheetml/2006/main" count="9943" uniqueCount="3742">
  <si>
    <t>Benzenoids: Benzene &amp; SDs</t>
  </si>
  <si>
    <t>-</t>
  </si>
  <si>
    <t>C₆H₅COOH</t>
  </si>
  <si>
    <t>65-85-0</t>
  </si>
  <si>
    <t>C₆H₅CH₂OH</t>
  </si>
  <si>
    <t>100-51-6</t>
  </si>
  <si>
    <t>Lipids &amp; LLMs: Fatty Acyls</t>
  </si>
  <si>
    <t>C₆H₇O₂K</t>
  </si>
  <si>
    <t>24634-61-5</t>
  </si>
  <si>
    <t>✓</t>
  </si>
  <si>
    <t>C₁₂H₇Cl₃O₂</t>
  </si>
  <si>
    <t>3380-34-5</t>
  </si>
  <si>
    <t>C₇H₆O₃</t>
  </si>
  <si>
    <t>99-96-7</t>
  </si>
  <si>
    <t>Benzenoids: Phenols</t>
  </si>
  <si>
    <t>C₆H₃OHCH₃Cl</t>
  </si>
  <si>
    <t>59-50-7</t>
  </si>
  <si>
    <t xml:space="preserve"> </t>
  </si>
  <si>
    <r>
      <t xml:space="preserve">    </t>
    </r>
    <r>
      <rPr>
        <i/>
        <u/>
        <sz val="8"/>
        <color theme="1"/>
        <rFont val="Times New Roman"/>
        <family val="1"/>
      </rPr>
      <t>Other</t>
    </r>
  </si>
  <si>
    <t>C₉H₁₀O₃</t>
  </si>
  <si>
    <t>120-47-8</t>
  </si>
  <si>
    <t>C₁₀H₁₂O₃</t>
  </si>
  <si>
    <t>94-13-3</t>
  </si>
  <si>
    <t>C₁₁H₁₄O₃</t>
  </si>
  <si>
    <t>4247-02-3</t>
  </si>
  <si>
    <t>4191-73-5</t>
  </si>
  <si>
    <t>94-26-8</t>
  </si>
  <si>
    <t>C₁₄H₁₂O₃</t>
  </si>
  <si>
    <t>94-18-8</t>
  </si>
  <si>
    <t>C₁₄H₂₀O₃</t>
  </si>
  <si>
    <t>1085-12-7</t>
  </si>
  <si>
    <t>C₈H₈O₃</t>
  </si>
  <si>
    <t>99-76-3</t>
  </si>
  <si>
    <r>
      <t xml:space="preserve">    </t>
    </r>
    <r>
      <rPr>
        <i/>
        <u/>
        <sz val="8"/>
        <color theme="1"/>
        <rFont val="Times New Roman"/>
        <family val="1"/>
      </rPr>
      <t>Parabens</t>
    </r>
  </si>
  <si>
    <t xml:space="preserve">  Preservatives</t>
  </si>
  <si>
    <t>Org. Heterocycl. Compds.: Imidazopyrimidines</t>
  </si>
  <si>
    <t>C₈H₁₀N₄O₂</t>
  </si>
  <si>
    <t>58-08-2</t>
  </si>
  <si>
    <t>Org. Heterocycl. Compds.: Pyridines†</t>
  </si>
  <si>
    <t>C₁₀H₁₄N₂</t>
  </si>
  <si>
    <t>22083-74-5</t>
  </si>
  <si>
    <t>Org. nitrogen Compds.: Organonitrogen Compds.</t>
  </si>
  <si>
    <t>C₁₄H₁₉N₃S</t>
  </si>
  <si>
    <t>91-80-5</t>
  </si>
  <si>
    <t>C₁₀H₁₃NO₂</t>
  </si>
  <si>
    <t>62-44-2</t>
  </si>
  <si>
    <t xml:space="preserve">  Pharmacologic Agents</t>
  </si>
  <si>
    <t>Phenylpropanoids &amp; PKs: Lin. 1,3-Diarylpropanoids</t>
  </si>
  <si>
    <t>C₂₀H₂₂O₃</t>
  </si>
  <si>
    <t>70356-09-1</t>
  </si>
  <si>
    <t>131-57-7</t>
  </si>
  <si>
    <t>Phenylpropanoids &amp; PKs: Cinnamic Acids†</t>
  </si>
  <si>
    <t>C₁₈H₂₆O₃</t>
  </si>
  <si>
    <t>5466-77-3</t>
  </si>
  <si>
    <t>C₁₆H₂₂O₃</t>
  </si>
  <si>
    <t>118-56-9</t>
  </si>
  <si>
    <t>C₁₇H₂₇NO₂</t>
  </si>
  <si>
    <t>58817-05-3</t>
  </si>
  <si>
    <t xml:space="preserve">  Organic UV Filters</t>
  </si>
  <si>
    <t>Org. oxygen Compds.: Organooxygen Compds.</t>
  </si>
  <si>
    <t>C₃H₈O₃</t>
  </si>
  <si>
    <t>56-81-5</t>
  </si>
  <si>
    <t xml:space="preserve">  Humectants</t>
  </si>
  <si>
    <t>Org. Heterocycl. Compds.: Benzodioxoles</t>
  </si>
  <si>
    <t>C₁₀H₁₀O₂</t>
  </si>
  <si>
    <t>120-58-1</t>
  </si>
  <si>
    <t>Lipids &amp; LLMs: Prenol Lipids</t>
  </si>
  <si>
    <t>C₁₀H₁₆</t>
  </si>
  <si>
    <t>5989-27-5</t>
  </si>
  <si>
    <t>2B</t>
  </si>
  <si>
    <t>94-59-7</t>
  </si>
  <si>
    <t>121-33-5</t>
  </si>
  <si>
    <t>Org. Heterocycl. Compds.: Oxanes</t>
  </si>
  <si>
    <t>C₁₀H₁₈O</t>
  </si>
  <si>
    <t>470-82-6</t>
  </si>
  <si>
    <t>C₁₀H₂₀O</t>
  </si>
  <si>
    <t>2216-51-5</t>
  </si>
  <si>
    <t>Org. Heterocycl. Compds.: Pyrans</t>
  </si>
  <si>
    <t>C₇H₈O₃</t>
  </si>
  <si>
    <t>225-582-5</t>
  </si>
  <si>
    <t>121-32-4</t>
  </si>
  <si>
    <t>C₇H₁₄O₂</t>
  </si>
  <si>
    <t>539-82-2</t>
  </si>
  <si>
    <t>C₈H₁₆O₂</t>
  </si>
  <si>
    <t>123-66-0</t>
  </si>
  <si>
    <t>Org. Acids†: Carboxylic Acids†</t>
  </si>
  <si>
    <t>C₅H₁₀O₂</t>
  </si>
  <si>
    <t>105-37-3</t>
  </si>
  <si>
    <t>C₁₁H₁₂O₂</t>
  </si>
  <si>
    <t>103-54-8</t>
  </si>
  <si>
    <t>C₉H₁₈O₂</t>
  </si>
  <si>
    <t>106-30-9</t>
  </si>
  <si>
    <t>C₁₃H₂₆O₂</t>
  </si>
  <si>
    <t>627-90-7</t>
  </si>
  <si>
    <t>C₁₀H₂₀O₂</t>
  </si>
  <si>
    <t>107-75-5</t>
  </si>
  <si>
    <t>Org. Heterocycl. Compds.: Dihydrofurans</t>
  </si>
  <si>
    <t>C₆H₈O₃</t>
  </si>
  <si>
    <t>3658-77-3</t>
  </si>
  <si>
    <t>C₆H₆O₃</t>
  </si>
  <si>
    <t>118-71-8</t>
  </si>
  <si>
    <t>106-24-1</t>
  </si>
  <si>
    <t>C₁₄H₂₈O₂</t>
  </si>
  <si>
    <t>106-33-2</t>
  </si>
  <si>
    <t>C₁₂H₂₄O₂</t>
  </si>
  <si>
    <t>110-38-3</t>
  </si>
  <si>
    <t>C₂₀H₄₀O₂</t>
  </si>
  <si>
    <t>111-61-5</t>
  </si>
  <si>
    <t>106-32-1</t>
  </si>
  <si>
    <t>C₁₁H₂₂O₂</t>
  </si>
  <si>
    <t>123-29-5</t>
  </si>
  <si>
    <t>14073-97-3</t>
  </si>
  <si>
    <t>C₆H₅COCH₃</t>
  </si>
  <si>
    <t>98-86-2</t>
  </si>
  <si>
    <t>C₆H₁₂O₂</t>
  </si>
  <si>
    <t>142-62-1</t>
  </si>
  <si>
    <t>105-54-4</t>
  </si>
  <si>
    <t>C₁₀H₁₄O</t>
  </si>
  <si>
    <t>89-83-8</t>
  </si>
  <si>
    <t>Phenylpropanoids &amp; PKs: Cinnamyl Alcohols</t>
  </si>
  <si>
    <t>C₉H₁₀O</t>
  </si>
  <si>
    <t>104-54-1</t>
  </si>
  <si>
    <t>118-58-1</t>
  </si>
  <si>
    <t>Phenylpropanoids &amp; PKs: Cinnamaldehydes</t>
  </si>
  <si>
    <t>C₉H₈O</t>
  </si>
  <si>
    <t>14371-10-9</t>
  </si>
  <si>
    <t xml:space="preserve">  Flavoring or Fragrance Agents</t>
  </si>
  <si>
    <t>C₂₀H₃₈O₂</t>
  </si>
  <si>
    <t>111-62-6</t>
  </si>
  <si>
    <t>C₁₈H₃₆O₂</t>
  </si>
  <si>
    <t>628-97-7</t>
  </si>
  <si>
    <t>C₁₆H₃₂O₂</t>
  </si>
  <si>
    <t>124-06-1</t>
  </si>
  <si>
    <t xml:space="preserve">  Emollients</t>
  </si>
  <si>
    <t>C₇H₆O₄</t>
  </si>
  <si>
    <t>99-50-3</t>
  </si>
  <si>
    <t xml:space="preserve">  Antioxidants</t>
  </si>
  <si>
    <t>OTHER CHEMICALS</t>
  </si>
  <si>
    <t>Benzenoids: Phenol Ethers</t>
  </si>
  <si>
    <t>C₇H₃Cl₅O</t>
  </si>
  <si>
    <t>1825-21-4</t>
  </si>
  <si>
    <t xml:space="preserve">: </t>
  </si>
  <si>
    <t xml:space="preserve">  Wood Preservative Breakdown Products</t>
  </si>
  <si>
    <t>C₆H₂Cl₃(OH)</t>
  </si>
  <si>
    <t>95-95-4</t>
  </si>
  <si>
    <t>C₆H₂Cl₃OH</t>
  </si>
  <si>
    <t>88-06-2</t>
  </si>
  <si>
    <t>C₆HCl₅</t>
  </si>
  <si>
    <t>608-93-5</t>
  </si>
  <si>
    <t>C₆Cl₅OH</t>
  </si>
  <si>
    <t>87-86-5</t>
  </si>
  <si>
    <t xml:space="preserve">  Wood Preservatives</t>
  </si>
  <si>
    <t>C₁₅H₂₄O</t>
  </si>
  <si>
    <t>104-40-5</t>
  </si>
  <si>
    <t>C₁₄H₂₂O</t>
  </si>
  <si>
    <t>140-66-9</t>
  </si>
  <si>
    <t>C₁₉H₃₂O₃</t>
  </si>
  <si>
    <t>9016-45-9</t>
  </si>
  <si>
    <t>C₁₇H₂₈O₂</t>
  </si>
  <si>
    <t>27986-36-3</t>
  </si>
  <si>
    <t xml:space="preserve">  Surfactants or Detergent</t>
  </si>
  <si>
    <t>C₅H₄N(CH₃)</t>
  </si>
  <si>
    <t>109-06-8</t>
  </si>
  <si>
    <t>C₆H₄(CH₃)₂</t>
  </si>
  <si>
    <t>95-47-6</t>
  </si>
  <si>
    <t>C₆H₁₂Cl₂O</t>
  </si>
  <si>
    <t>108-60-1</t>
  </si>
  <si>
    <t>C₆H₅CH₃</t>
  </si>
  <si>
    <t>108-88-3</t>
  </si>
  <si>
    <t>Org. Heterocycl. Compds.: Oxazinanes</t>
  </si>
  <si>
    <t>C₄H₈N₂O₂</t>
  </si>
  <si>
    <t>59-89-2</t>
  </si>
  <si>
    <t>C₉H₁₄O</t>
  </si>
  <si>
    <t>78-59-1</t>
  </si>
  <si>
    <t>Organohalogen Compds.: Organochlorides</t>
  </si>
  <si>
    <t>C₃H₆Cl₂</t>
  </si>
  <si>
    <t>142-28-9</t>
  </si>
  <si>
    <t>C₆H₅C₂H₅</t>
  </si>
  <si>
    <t>100-41-4</t>
  </si>
  <si>
    <t>Hydrocarbons: Saturated hydrocarbons</t>
  </si>
  <si>
    <t>C₁₂H₂₆</t>
  </si>
  <si>
    <t>112-40-3</t>
  </si>
  <si>
    <t>CH₃COOC₂H₅</t>
  </si>
  <si>
    <t>141-78-6</t>
  </si>
  <si>
    <t>C₁₃H₂₈</t>
  </si>
  <si>
    <t>629-50-5</t>
  </si>
  <si>
    <t>C₁₈H₃₈</t>
  </si>
  <si>
    <t>593-45-3</t>
  </si>
  <si>
    <t>C₁₆H₃₄</t>
  </si>
  <si>
    <t>544-76-3</t>
  </si>
  <si>
    <t>C₁₅H₃₂</t>
  </si>
  <si>
    <t>629-62-9</t>
  </si>
  <si>
    <t>C₁₄H₃₀</t>
  </si>
  <si>
    <t>629-59-4</t>
  </si>
  <si>
    <t>C₁₀H₁₄</t>
  </si>
  <si>
    <t>104-51-8</t>
  </si>
  <si>
    <t>CH₃C₆H₄Cl</t>
  </si>
  <si>
    <t>106-43-4</t>
  </si>
  <si>
    <t>95-49-8</t>
  </si>
  <si>
    <t>135-98-8</t>
  </si>
  <si>
    <t>98-06-6</t>
  </si>
  <si>
    <t>CH₃C₆H₄CH(CH₃)₂</t>
  </si>
  <si>
    <t>99-87-6</t>
  </si>
  <si>
    <t>C₉H₁₂</t>
  </si>
  <si>
    <t>95-63-6</t>
  </si>
  <si>
    <t>C₅H₁₀Cl₂O₂</t>
  </si>
  <si>
    <t>111-91-1</t>
  </si>
  <si>
    <t xml:space="preserve">  Solvents</t>
  </si>
  <si>
    <t>C₆H₁₄N₂O</t>
  </si>
  <si>
    <t>621-64-7</t>
  </si>
  <si>
    <t xml:space="preserve">  Side-Reaction Byproducts</t>
  </si>
  <si>
    <t>C₁₀H₁₀O₄</t>
  </si>
  <si>
    <t>2306-33-4</t>
  </si>
  <si>
    <t>C₉H₈O₄</t>
  </si>
  <si>
    <t>4376-18-5</t>
  </si>
  <si>
    <t>C₁₇H₂₄O₄</t>
  </si>
  <si>
    <t>106610-61-1</t>
  </si>
  <si>
    <t>C₁₂H₁₄O₄</t>
  </si>
  <si>
    <t>30833-53-5</t>
  </si>
  <si>
    <t>C₁₆H₂₀O₆</t>
  </si>
  <si>
    <t>40809-41-4</t>
  </si>
  <si>
    <t>C₁₅H₁₂O₄</t>
  </si>
  <si>
    <t>2528-16-7</t>
  </si>
  <si>
    <t>C₁₄H₁₆O₄</t>
  </si>
  <si>
    <t>7517-36-4</t>
  </si>
  <si>
    <t>C₁₆H₂₀O₅</t>
  </si>
  <si>
    <t>40321-98-0</t>
  </si>
  <si>
    <t>C₁₆H₂₂O₅</t>
  </si>
  <si>
    <t>40321-99-1</t>
  </si>
  <si>
    <t>131-70-4</t>
  </si>
  <si>
    <t>C₁₆H₂₂O₄</t>
  </si>
  <si>
    <t>5393-19-1</t>
  </si>
  <si>
    <t>4376-20-9</t>
  </si>
  <si>
    <r>
      <t xml:space="preserve">    </t>
    </r>
    <r>
      <rPr>
        <i/>
        <u/>
        <sz val="8"/>
        <color theme="1"/>
        <rFont val="Times New Roman"/>
        <family val="1"/>
      </rPr>
      <t>Plasticizer Metabolites</t>
    </r>
  </si>
  <si>
    <t>C₁₂H₁₀N₂O</t>
  </si>
  <si>
    <t>86-30-6</t>
  </si>
  <si>
    <t>C₁₂H₁₀O₄S</t>
  </si>
  <si>
    <t>80-09-1</t>
  </si>
  <si>
    <t>C₁₃H₁₂O₂</t>
  </si>
  <si>
    <t>620-92-8</t>
  </si>
  <si>
    <t>C₁₅H₁₆O₂</t>
  </si>
  <si>
    <t>80-05-7</t>
  </si>
  <si>
    <r>
      <t xml:space="preserve">    </t>
    </r>
    <r>
      <rPr>
        <i/>
        <u/>
        <sz val="8"/>
        <color theme="1"/>
        <rFont val="Times New Roman"/>
        <family val="1"/>
      </rPr>
      <t>Plastic Additives</t>
    </r>
  </si>
  <si>
    <t>C₁₉H₂₀O₄</t>
  </si>
  <si>
    <t>85-68-7</t>
  </si>
  <si>
    <t>C₂₄H₃₈O₄</t>
  </si>
  <si>
    <t>117-81-7</t>
  </si>
  <si>
    <t>Org. Acids†: Org. Phosphoric Acids†</t>
  </si>
  <si>
    <t>C₂₄H₅₁O₄P</t>
  </si>
  <si>
    <t>78-42-2</t>
  </si>
  <si>
    <t>C₁₅H₃₃O₄P</t>
  </si>
  <si>
    <t>2528-38-3</t>
  </si>
  <si>
    <t>84-66-2</t>
  </si>
  <si>
    <t>C₁₈H₃₉O₇P</t>
  </si>
  <si>
    <t>78-51-3</t>
  </si>
  <si>
    <t>C₂₀H₂₇O₄P</t>
  </si>
  <si>
    <t>1241-94-7</t>
  </si>
  <si>
    <t>C₁₂H₂₇O₄P</t>
  </si>
  <si>
    <t>126-73-8</t>
  </si>
  <si>
    <t>C₆H₄(COOCH₃)₂</t>
  </si>
  <si>
    <t>131-11-3</t>
  </si>
  <si>
    <t>117-84-0</t>
  </si>
  <si>
    <t>84-74-2</t>
  </si>
  <si>
    <r>
      <t xml:space="preserve">    </t>
    </r>
    <r>
      <rPr>
        <i/>
        <u/>
        <sz val="8"/>
        <color theme="1"/>
        <rFont val="Times New Roman"/>
        <family val="1"/>
      </rPr>
      <t>Plasticizers</t>
    </r>
  </si>
  <si>
    <t xml:space="preserve">  Plasticizers and Plastic Additives</t>
  </si>
  <si>
    <t>Organohalogen Compds.: Alkyl Halides</t>
  </si>
  <si>
    <t>C₅F₁₁COOH</t>
  </si>
  <si>
    <t>307-24-4</t>
  </si>
  <si>
    <t>C₁₄HF₂₇O₂</t>
  </si>
  <si>
    <t>376-06-7</t>
  </si>
  <si>
    <t>Org. Acids†: Org. Sulfonic Acids†</t>
  </si>
  <si>
    <t>C₈HClF₁₆O₄S</t>
  </si>
  <si>
    <t>756426-58-1</t>
  </si>
  <si>
    <t>C₁₁H₆F₁₇NO₄S</t>
  </si>
  <si>
    <t>2355-31-9</t>
  </si>
  <si>
    <t>C₈F₁₇COOH</t>
  </si>
  <si>
    <t>375-95-1</t>
  </si>
  <si>
    <t>C₁₂HF₂₃O₂</t>
  </si>
  <si>
    <t>307-55-1</t>
  </si>
  <si>
    <t xml:space="preserve">  Per- and Polyfluoroalkyl Substances (PFAS)</t>
  </si>
  <si>
    <t>C₁₂H₆Cl₄</t>
  </si>
  <si>
    <t>32598-11-1</t>
  </si>
  <si>
    <t>C₁₂H₄Cl₆</t>
  </si>
  <si>
    <t>35065-27-1</t>
  </si>
  <si>
    <t>38380-05-1</t>
  </si>
  <si>
    <t>C₁₂H₇Cl₃</t>
  </si>
  <si>
    <t>37680-65-2</t>
  </si>
  <si>
    <t>32598-10-0</t>
  </si>
  <si>
    <t>51908-16-8</t>
  </si>
  <si>
    <t>C₁₂H₅Cl₅</t>
  </si>
  <si>
    <t>31508-00-6</t>
  </si>
  <si>
    <t>C₁₂H₃Cl₇</t>
  </si>
  <si>
    <t>74472-50-7</t>
  </si>
  <si>
    <t>52663-68-0</t>
  </si>
  <si>
    <t>35065-29-3</t>
  </si>
  <si>
    <t>52663-74-8</t>
  </si>
  <si>
    <t>35065-28-2</t>
  </si>
  <si>
    <t>32598-14-4</t>
  </si>
  <si>
    <t xml:space="preserve">  Polychlorinated Biphenyls (PCBs)</t>
  </si>
  <si>
    <t>C₂₂H₄₆</t>
  </si>
  <si>
    <t>629-97-0</t>
  </si>
  <si>
    <t>C₂₀H₄₂</t>
  </si>
  <si>
    <t>112-95-8</t>
  </si>
  <si>
    <t>C₂₈H₅₈</t>
  </si>
  <si>
    <t>630-02-4</t>
  </si>
  <si>
    <t>C₂₆H₅₄</t>
  </si>
  <si>
    <t>630-01-3</t>
  </si>
  <si>
    <t>C₂₄H₅₀</t>
  </si>
  <si>
    <t>646-31-1</t>
  </si>
  <si>
    <t>C₁₇H₃₆</t>
  </si>
  <si>
    <t>629-78-7</t>
  </si>
  <si>
    <t>C₃₀H₆₂</t>
  </si>
  <si>
    <t>638-68-6</t>
  </si>
  <si>
    <t>C₃₂H₆₆</t>
  </si>
  <si>
    <t>544-85-4</t>
  </si>
  <si>
    <t xml:space="preserve">  Lubricants</t>
  </si>
  <si>
    <t>C₉H₂₁O₄P</t>
  </si>
  <si>
    <t>513-08-6</t>
  </si>
  <si>
    <t>C₁₉H₁₇O₄P</t>
  </si>
  <si>
    <t>69500-28-3</t>
  </si>
  <si>
    <t>C₂₁H₂₁O₄P</t>
  </si>
  <si>
    <t>78-32-0</t>
  </si>
  <si>
    <t>563-04-2</t>
  </si>
  <si>
    <r>
      <t xml:space="preserve">    </t>
    </r>
    <r>
      <rPr>
        <i/>
        <u/>
        <sz val="8"/>
        <color theme="1"/>
        <rFont val="Times New Roman"/>
        <family val="1"/>
      </rPr>
      <t>Organophosphate</t>
    </r>
  </si>
  <si>
    <t>C₆H₁₂Cl₃O₄P</t>
  </si>
  <si>
    <t>115-96-8</t>
  </si>
  <si>
    <t>C₉H₁₈Cl₃O₄P</t>
  </si>
  <si>
    <t>1067-98-7</t>
  </si>
  <si>
    <t>C₉H₁₅Cl₆O₄P</t>
  </si>
  <si>
    <t>13674-87-8</t>
  </si>
  <si>
    <t>13674-84-5</t>
  </si>
  <si>
    <r>
      <t xml:space="preserve">    </t>
    </r>
    <r>
      <rPr>
        <i/>
        <u/>
        <sz val="8"/>
        <color theme="1"/>
        <rFont val="Times New Roman"/>
        <family val="1"/>
      </rPr>
      <t>Chlorinated</t>
    </r>
  </si>
  <si>
    <t>2A</t>
  </si>
  <si>
    <t>C₁₅H₁₂Br₄O₂</t>
  </si>
  <si>
    <t>79-94-7</t>
  </si>
  <si>
    <t>C₁₂H₆Br₄O</t>
  </si>
  <si>
    <t>189084-61-5</t>
  </si>
  <si>
    <t>C₁₅H₂₄Br₉O₄P</t>
  </si>
  <si>
    <t>19186-97-1</t>
  </si>
  <si>
    <t>C₁₂H₅Br₅O</t>
  </si>
  <si>
    <t>189084-64-8</t>
  </si>
  <si>
    <t>5436-43-1</t>
  </si>
  <si>
    <t>C₁₂H₆Br₄O₄S</t>
  </si>
  <si>
    <t>39635-79-5</t>
  </si>
  <si>
    <t>C₂₁H₂₀Br₄O₂</t>
  </si>
  <si>
    <t>25327-89-3</t>
  </si>
  <si>
    <t>C₉H₆Br₄O</t>
  </si>
  <si>
    <t>99717-56-3</t>
  </si>
  <si>
    <t>C₂₁H₂₀Br₈O₂</t>
  </si>
  <si>
    <t>21850-44-2</t>
  </si>
  <si>
    <r>
      <t xml:space="preserve">    </t>
    </r>
    <r>
      <rPr>
        <i/>
        <u/>
        <sz val="8"/>
        <color theme="1"/>
        <rFont val="Times New Roman"/>
        <family val="1"/>
      </rPr>
      <t>Brominated</t>
    </r>
  </si>
  <si>
    <t xml:space="preserve">  Flame Retardants</t>
  </si>
  <si>
    <t>C₇H₆N₂O₄</t>
  </si>
  <si>
    <t>606-20-2</t>
  </si>
  <si>
    <t>121-14-2</t>
  </si>
  <si>
    <t>C₆H₄(NO₂)₂</t>
  </si>
  <si>
    <t>99-65-0</t>
  </si>
  <si>
    <t xml:space="preserve">  Explosive Intermediates</t>
  </si>
  <si>
    <t>Org. Heterocycl. Compds.: Azobenzenes</t>
  </si>
  <si>
    <t>C₁₂H₁₀N₂</t>
  </si>
  <si>
    <t>103-33-3</t>
  </si>
  <si>
    <t>Benzenoids: Naphthalenes</t>
  </si>
  <si>
    <t>C₁₀H₉N</t>
  </si>
  <si>
    <t>134-32-7</t>
  </si>
  <si>
    <t>C₉H₁₃N</t>
  </si>
  <si>
    <t>137-17-7</t>
  </si>
  <si>
    <t>C₇H₈N₂O₂</t>
  </si>
  <si>
    <t>99-55-8</t>
  </si>
  <si>
    <t>C₆H₄(NH₂)₂</t>
  </si>
  <si>
    <t>106-50-3</t>
  </si>
  <si>
    <t>C₆H₅C₆H₄OH</t>
  </si>
  <si>
    <t>90-43-7</t>
  </si>
  <si>
    <t>Org. Heterocycl. Compds.: Indoles†</t>
  </si>
  <si>
    <t>C₁₂H₉N</t>
  </si>
  <si>
    <t>86-74-8</t>
  </si>
  <si>
    <t>CH₃OC₆H₃(CH₃)NH₂</t>
  </si>
  <si>
    <t>120-71-8</t>
  </si>
  <si>
    <t>Benzenoids: Anthracenes</t>
  </si>
  <si>
    <t>C₆H₄(CO)₂C₆H₄</t>
  </si>
  <si>
    <t>84-65-1</t>
  </si>
  <si>
    <t>ClC₆H₄NH₂</t>
  </si>
  <si>
    <t>106-47-8</t>
  </si>
  <si>
    <t>C₁₂H₁₁N₃</t>
  </si>
  <si>
    <t>60-09-3</t>
  </si>
  <si>
    <t>C₇H₁₀N₂O</t>
  </si>
  <si>
    <t>615-05-4</t>
  </si>
  <si>
    <t>CH₃C₆H₃(NH₂)₂</t>
  </si>
  <si>
    <t>95-80-7</t>
  </si>
  <si>
    <t>C₆H₄ClNO₂</t>
  </si>
  <si>
    <t>88-73-3</t>
  </si>
  <si>
    <t>100-00-5</t>
  </si>
  <si>
    <t>C₆H₅N=NC₆H₄N(CH₃)₂</t>
  </si>
  <si>
    <t>60-11-7</t>
  </si>
  <si>
    <t>C₁₅H₁₈N₂</t>
  </si>
  <si>
    <t>838-88-0</t>
  </si>
  <si>
    <t>Organosulfur Compds.: Thioethers</t>
  </si>
  <si>
    <t>C₁₂H₁₂N₂S</t>
  </si>
  <si>
    <t>139-65-1</t>
  </si>
  <si>
    <t>C₁₄H₁₆N₂O₂</t>
  </si>
  <si>
    <t>119-90-4</t>
  </si>
  <si>
    <t>C₁₄H₁₅N₃</t>
  </si>
  <si>
    <t>97-56-3</t>
  </si>
  <si>
    <t>C₁₄H₁₆N₂</t>
  </si>
  <si>
    <t>119-93-7</t>
  </si>
  <si>
    <t>NH₂C₆H₄OCH₃</t>
  </si>
  <si>
    <t>90-04-0</t>
  </si>
  <si>
    <t>C₆H₅NH₂</t>
  </si>
  <si>
    <t>62-53-3</t>
  </si>
  <si>
    <t>C₁₀H₈O</t>
  </si>
  <si>
    <t>90-15-3</t>
  </si>
  <si>
    <t>C₆H₆N₂O₂</t>
  </si>
  <si>
    <t>99-09-2</t>
  </si>
  <si>
    <t>100-01-6</t>
  </si>
  <si>
    <t>C₇H₆ClNO₂</t>
  </si>
  <si>
    <t>89-60-1</t>
  </si>
  <si>
    <t>89-59-8</t>
  </si>
  <si>
    <t>83-42-1</t>
  </si>
  <si>
    <t>88-74-4</t>
  </si>
  <si>
    <t>C₇H₈ClN</t>
  </si>
  <si>
    <t>87-60-5</t>
  </si>
  <si>
    <t>C₆H₅Cl₂N</t>
  </si>
  <si>
    <t>95-76-1</t>
  </si>
  <si>
    <t>91-59-8</t>
  </si>
  <si>
    <t>C₆H₅-C₆H₄NH₂</t>
  </si>
  <si>
    <t>92-67-1</t>
  </si>
  <si>
    <t>C₁₂H₁₁N</t>
  </si>
  <si>
    <t>90-41-5</t>
  </si>
  <si>
    <t>C₁₂H₁₂N₂</t>
  </si>
  <si>
    <t>92-87-5</t>
  </si>
  <si>
    <t>C₆H₄CH₃NH₂</t>
  </si>
  <si>
    <t>95-53-4</t>
  </si>
  <si>
    <t xml:space="preserve">  Dye intermediates</t>
  </si>
  <si>
    <t>CHBr₂Cl</t>
  </si>
  <si>
    <t>124-48-1</t>
  </si>
  <si>
    <t>CHBrCl₂</t>
  </si>
  <si>
    <t>75-27-4</t>
  </si>
  <si>
    <t xml:space="preserve">  Disinfectant Breakdown Products</t>
  </si>
  <si>
    <t>Benzenoids: Phenanthrenes†</t>
  </si>
  <si>
    <t>C₁₄H₁₀</t>
  </si>
  <si>
    <t>85-01-8</t>
  </si>
  <si>
    <t>Benzenoids: Fluorenes</t>
  </si>
  <si>
    <t>C₁₃H₁₀</t>
  </si>
  <si>
    <t>86-73-7</t>
  </si>
  <si>
    <t>C₁₂H₁₀</t>
  </si>
  <si>
    <t>83-32-9</t>
  </si>
  <si>
    <t>Benzenoids: Pyrenes</t>
  </si>
  <si>
    <t>C₂₂H₁₂</t>
  </si>
  <si>
    <t>191-24-2</t>
  </si>
  <si>
    <t>C₁₆H₁₀</t>
  </si>
  <si>
    <t>129-00-0</t>
  </si>
  <si>
    <t>206-44-0</t>
  </si>
  <si>
    <t>193-39-5</t>
  </si>
  <si>
    <t>C₁₈H₁₂</t>
  </si>
  <si>
    <t>218-01-9</t>
  </si>
  <si>
    <t>(C₆H₄CH)₂</t>
  </si>
  <si>
    <t>120-12-7</t>
  </si>
  <si>
    <t>C₁₀H₈</t>
  </si>
  <si>
    <t>91-20-3</t>
  </si>
  <si>
    <t>C₂₀H₁₂</t>
  </si>
  <si>
    <t>205-99-2</t>
  </si>
  <si>
    <t>56-55-3</t>
  </si>
  <si>
    <t>207-08-9</t>
  </si>
  <si>
    <t>Benzenoids: Acenaphthylenes</t>
  </si>
  <si>
    <t>C₁₂H₈</t>
  </si>
  <si>
    <t>208-96-8</t>
  </si>
  <si>
    <t>C₂₂H₁₄</t>
  </si>
  <si>
    <t>53-70-3</t>
  </si>
  <si>
    <t>C₁₁H₁₀</t>
  </si>
  <si>
    <t>91-57-6</t>
  </si>
  <si>
    <t>C₂₁H₁₆</t>
  </si>
  <si>
    <t>56-49-5</t>
  </si>
  <si>
    <t>C₂₀H₁₆</t>
  </si>
  <si>
    <t>57-97-6</t>
  </si>
  <si>
    <t>50-32-8</t>
  </si>
  <si>
    <r>
      <t xml:space="preserve">    </t>
    </r>
    <r>
      <rPr>
        <i/>
        <u/>
        <sz val="8"/>
        <color theme="1"/>
        <rFont val="Times New Roman"/>
        <family val="1"/>
      </rPr>
      <t>Polycyclic Aromatic Hydrocarbon</t>
    </r>
  </si>
  <si>
    <t>Org. Heterocycl. Compds.: Benzofurans</t>
  </si>
  <si>
    <t>C₁₂Cl₈O</t>
  </si>
  <si>
    <t>39001-02-0</t>
  </si>
  <si>
    <t>C₁₂H₃Cl₅O</t>
  </si>
  <si>
    <t>57117-41-6</t>
  </si>
  <si>
    <t>Org. Heterocycl. Compds.: Benzodioxins</t>
  </si>
  <si>
    <t>C₁₂Cl₈O₂</t>
  </si>
  <si>
    <t>3268-87-9</t>
  </si>
  <si>
    <t xml:space="preserve">  Combustion Byproducts</t>
  </si>
  <si>
    <t>(ClCH₂CH₂)₂O</t>
  </si>
  <si>
    <t>111-44-4</t>
  </si>
  <si>
    <t>C₆H₅OH</t>
  </si>
  <si>
    <t>108-95-2</t>
  </si>
  <si>
    <t>Org. Heterocycl. Compds.: Azolidines</t>
  </si>
  <si>
    <t>C₃H₆N₂S</t>
  </si>
  <si>
    <t>96-45-7</t>
  </si>
  <si>
    <t>C₆H₄Cl₂</t>
  </si>
  <si>
    <t>541-73-1</t>
  </si>
  <si>
    <t>CH₂C(CH₃)COOCH₃</t>
  </si>
  <si>
    <t>80-62-6</t>
  </si>
  <si>
    <t>C₆H₅NHC₆H₅</t>
  </si>
  <si>
    <t>122-39-4</t>
  </si>
  <si>
    <t>C₆H₅CH(CH₃)₂</t>
  </si>
  <si>
    <t>98-82-8</t>
  </si>
  <si>
    <t>C₁₂H₁₂N₂O</t>
  </si>
  <si>
    <t>101-80-4</t>
  </si>
  <si>
    <t>C₆H₅NO₂</t>
  </si>
  <si>
    <t>98-95-3</t>
  </si>
  <si>
    <t>C₆H₄Cl₂O</t>
  </si>
  <si>
    <t>120-83-2</t>
  </si>
  <si>
    <t>NH₂C₆H₄CH₂C₆H₄NH₂</t>
  </si>
  <si>
    <t>101-77-9</t>
  </si>
  <si>
    <t>C₇H₉Cl₂N</t>
  </si>
  <si>
    <t>95-69-2</t>
  </si>
  <si>
    <t>C₄H₁₀N₂O</t>
  </si>
  <si>
    <t>55-18-5</t>
  </si>
  <si>
    <t>C₆H₅CHCH₂</t>
  </si>
  <si>
    <t>100-42-5</t>
  </si>
  <si>
    <t>C₁₂H₈O</t>
  </si>
  <si>
    <t>132-64-9</t>
  </si>
  <si>
    <t>C₆H₅NO₃</t>
  </si>
  <si>
    <t>88-75-5</t>
  </si>
  <si>
    <t>Org. Heterocycl. Compds.: Coumarans</t>
  </si>
  <si>
    <t>C₁₀H₁₂O₂</t>
  </si>
  <si>
    <t>1563-38-8</t>
  </si>
  <si>
    <t>C₄H₈N₂S</t>
  </si>
  <si>
    <t>2122-19-2</t>
  </si>
  <si>
    <t>C₄H₁₀O₃P+</t>
  </si>
  <si>
    <t>762-04-9</t>
  </si>
  <si>
    <t>Org. Heterocycl. Compds.: Diazines</t>
  </si>
  <si>
    <t>C₈H₁₂N₂O</t>
  </si>
  <si>
    <t>2814-20-2</t>
  </si>
  <si>
    <t>CH₃C₆H₄OH</t>
  </si>
  <si>
    <t>108-39-4</t>
  </si>
  <si>
    <t>C₆H₃(OH)(NO₂)₂</t>
  </si>
  <si>
    <t>51-28-5</t>
  </si>
  <si>
    <t>Organohalogen Compds.: Vinyl Halides</t>
  </si>
  <si>
    <t>C₃Cl₆</t>
  </si>
  <si>
    <t>1888-71-7</t>
  </si>
  <si>
    <t>CH₂=C(CH₃)COO(C₂H₅)</t>
  </si>
  <si>
    <t>97-63-2</t>
  </si>
  <si>
    <t>C₁₀H₆O₂</t>
  </si>
  <si>
    <t>130-15-4</t>
  </si>
  <si>
    <t>C₁₀H₇Cl</t>
  </si>
  <si>
    <t>91-58-7</t>
  </si>
  <si>
    <t>594-20-7</t>
  </si>
  <si>
    <t>C₃H₉O₄P</t>
  </si>
  <si>
    <t>512-56-1</t>
  </si>
  <si>
    <t>C₂H₇O₄P</t>
  </si>
  <si>
    <t>813-78-5</t>
  </si>
  <si>
    <t>513-02-0</t>
  </si>
  <si>
    <t>C₆H₃Cl₂NO₂</t>
  </si>
  <si>
    <t>3209-22-1</t>
  </si>
  <si>
    <t>618-62-2</t>
  </si>
  <si>
    <t>C₁₂H₉NO₃</t>
  </si>
  <si>
    <t>620-88-2</t>
  </si>
  <si>
    <t>C₁₂H₉ClO</t>
  </si>
  <si>
    <t>7005-72-3</t>
  </si>
  <si>
    <t>C₆H₂Cl₃NO₂</t>
  </si>
  <si>
    <t>17700-09-3</t>
  </si>
  <si>
    <t>C₉H₁₁NO</t>
  </si>
  <si>
    <t>60397-77-5</t>
  </si>
  <si>
    <t>C₁₂H₇Cl₂NO₃</t>
  </si>
  <si>
    <t>21105-77-1</t>
  </si>
  <si>
    <t>82239-20-1</t>
  </si>
  <si>
    <t>C₁₄H₂₁BrO</t>
  </si>
  <si>
    <t>57835-35-5</t>
  </si>
  <si>
    <t>C₁₂H₈F₁₇NO₄S</t>
  </si>
  <si>
    <t>2991-50-6</t>
  </si>
  <si>
    <t>(CH₃)₂C₆H₃OH</t>
  </si>
  <si>
    <t>105-67-9</t>
  </si>
  <si>
    <t>Org. Heterocycl. Compds.: Isoindoles†</t>
  </si>
  <si>
    <t>C₈H₉NO₂</t>
  </si>
  <si>
    <t>85-40-5</t>
  </si>
  <si>
    <t>95-48-7</t>
  </si>
  <si>
    <t>2093-28-9</t>
  </si>
  <si>
    <t>949-13-3</t>
  </si>
  <si>
    <t>C₆H₃Br₃O</t>
  </si>
  <si>
    <t>118-79-6</t>
  </si>
  <si>
    <t>106-44-5</t>
  </si>
  <si>
    <t>100-02-7</t>
  </si>
  <si>
    <t>C₁₃H₁₂Cl₂N₂</t>
  </si>
  <si>
    <t>101-14-4</t>
  </si>
  <si>
    <t xml:space="preserve">  Chemical Synthesis Intermediates</t>
  </si>
  <si>
    <t>-: Organonitrogen Compds.</t>
  </si>
  <si>
    <t>C₃H₈N₂O</t>
  </si>
  <si>
    <t>10595-95-6</t>
  </si>
  <si>
    <t>-: Pyrrolidines</t>
  </si>
  <si>
    <t>C₄H₈N₂O</t>
  </si>
  <si>
    <t>930-55-2</t>
  </si>
  <si>
    <t>C₈H₁₈N₂O</t>
  </si>
  <si>
    <t>924-16-3</t>
  </si>
  <si>
    <t>-: Org. Sulfonic Acids†</t>
  </si>
  <si>
    <t>C₂H₆O₃S</t>
  </si>
  <si>
    <t>66-27-3</t>
  </si>
  <si>
    <t>-: Fluorenes</t>
  </si>
  <si>
    <t>C₁₅H₁₃NO</t>
  </si>
  <si>
    <t>53-96-3</t>
  </si>
  <si>
    <t>-: Quinolines†</t>
  </si>
  <si>
    <t>C₉H₆N₂O₃</t>
  </si>
  <si>
    <t>56-57-5</t>
  </si>
  <si>
    <t xml:space="preserve">  Carcinogenic Research Chemicals</t>
  </si>
  <si>
    <t>ENVIRONMENTAL AND INDUSTRIAL CHEMICALS</t>
  </si>
  <si>
    <t>C₁₀H₁₂ClNO₂</t>
  </si>
  <si>
    <t>101-21-3</t>
  </si>
  <si>
    <t>C₇H₂Br₄O₂</t>
  </si>
  <si>
    <t>27581-13-1</t>
  </si>
  <si>
    <t>C₁₅H₂₀ClN₃O</t>
  </si>
  <si>
    <t>76738-62-0</t>
  </si>
  <si>
    <t xml:space="preserve">  Plant Growth Regulators</t>
  </si>
  <si>
    <t>C₁₉H₃₀O₅</t>
  </si>
  <si>
    <t>51-03-6</t>
  </si>
  <si>
    <t>C₁₇H₂₅NO₂</t>
  </si>
  <si>
    <t>113-48-4</t>
  </si>
  <si>
    <r>
      <t xml:space="preserve">    </t>
    </r>
    <r>
      <rPr>
        <i/>
        <u/>
        <sz val="8"/>
        <color theme="1"/>
        <rFont val="Times New Roman"/>
        <family val="1"/>
      </rPr>
      <t>Synergists</t>
    </r>
  </si>
  <si>
    <t>Org. Heterocycl. Compds.: Pyrroles</t>
  </si>
  <si>
    <t>C₁₅H₁₁BrClF₃N₂O</t>
  </si>
  <si>
    <t>122453-73-0</t>
  </si>
  <si>
    <r>
      <t xml:space="preserve">    </t>
    </r>
    <r>
      <rPr>
        <i/>
        <u/>
        <sz val="8"/>
        <color theme="1"/>
        <rFont val="Times New Roman"/>
        <family val="1"/>
      </rPr>
      <t>Pyrrole</t>
    </r>
  </si>
  <si>
    <t>C₁₃H₁₀O₃</t>
  </si>
  <si>
    <t>3739-38-6</t>
  </si>
  <si>
    <r>
      <t xml:space="preserve">    </t>
    </r>
    <r>
      <rPr>
        <i/>
        <u/>
        <sz val="8"/>
        <color theme="1"/>
        <rFont val="Times New Roman"/>
        <family val="1"/>
      </rPr>
      <t>Pyrethroid Breakdown Products</t>
    </r>
  </si>
  <si>
    <t>C₂₁H₂₀Cl₂O₃</t>
  </si>
  <si>
    <t>61949-77-7</t>
  </si>
  <si>
    <t>61949-76-6</t>
  </si>
  <si>
    <t>C₂₂H₁₉Br₂NO₃</t>
  </si>
  <si>
    <t>52918-63-5</t>
  </si>
  <si>
    <t>C₂₅H₂₂ClNO₃</t>
  </si>
  <si>
    <t>51630-58-1</t>
  </si>
  <si>
    <t>C₁₉H₂₆O₃</t>
  </si>
  <si>
    <t>584-79-2</t>
  </si>
  <si>
    <t>C₁₅H₁₂Cl₂F₄O₂</t>
  </si>
  <si>
    <t>118712-89-3</t>
  </si>
  <si>
    <t>C₂₂H₂₃NO₃</t>
  </si>
  <si>
    <t>39515-41-8</t>
  </si>
  <si>
    <t>C₁₃H₉FO₃</t>
  </si>
  <si>
    <t>77279-89-1</t>
  </si>
  <si>
    <t>C₈H₁₀Cl₂O₂</t>
  </si>
  <si>
    <t>59042-49-8</t>
  </si>
  <si>
    <t>C₂₆H₂₃F₂NO₄</t>
  </si>
  <si>
    <t>70124-77-5</t>
  </si>
  <si>
    <t>59042-50-1</t>
  </si>
  <si>
    <t>C₁₇H₁₄ClF₇O₂</t>
  </si>
  <si>
    <t>79538-32-2</t>
  </si>
  <si>
    <t>C₂₃H₂₂ClF₃O₂</t>
  </si>
  <si>
    <t>82657-04-3</t>
  </si>
  <si>
    <t>C₂₆H₂₁F₆NO₅</t>
  </si>
  <si>
    <t>101007-06-1</t>
  </si>
  <si>
    <t>C₂₅H₂₈O₃</t>
  </si>
  <si>
    <t>80844-07-1</t>
  </si>
  <si>
    <t>C₁₉H₂₅NO₄</t>
  </si>
  <si>
    <t>7696-12-0</t>
  </si>
  <si>
    <t>C₂₆H₂₂ClF₃N₂O₃</t>
  </si>
  <si>
    <t>102851-06-9</t>
  </si>
  <si>
    <t>C₂₃H₂₆O₃</t>
  </si>
  <si>
    <t>26002-80-2</t>
  </si>
  <si>
    <t>C₂₂H₁₈Cl₂FNO₃</t>
  </si>
  <si>
    <t>68359-37-5</t>
  </si>
  <si>
    <t>C₂₂H₁₉Cl₂NO₃</t>
  </si>
  <si>
    <t>52315-07-8</t>
  </si>
  <si>
    <t>C₂₃H₁₉ClF₃NO₃</t>
  </si>
  <si>
    <t>91465-08-6</t>
  </si>
  <si>
    <r>
      <t xml:space="preserve">    </t>
    </r>
    <r>
      <rPr>
        <i/>
        <u/>
        <sz val="8"/>
        <color theme="1"/>
        <rFont val="Times New Roman"/>
        <family val="1"/>
      </rPr>
      <t>Pyrethroid</t>
    </r>
  </si>
  <si>
    <t>C₄H₁₁O₄P</t>
  </si>
  <si>
    <t>598-02-7</t>
  </si>
  <si>
    <r>
      <rPr>
        <i/>
        <sz val="8"/>
        <color rgb="FF000000"/>
        <rFont val="Times New Roman"/>
        <family val="1"/>
      </rPr>
      <t xml:space="preserve">    </t>
    </r>
    <r>
      <rPr>
        <i/>
        <u/>
        <sz val="8"/>
        <color rgb="FF000000"/>
        <rFont val="Times New Roman"/>
        <family val="1"/>
      </rPr>
      <t>Organophosphate Breakdown Products</t>
    </r>
  </si>
  <si>
    <t>Org. Acids†: Org. TPAs†</t>
  </si>
  <si>
    <t>C₈H₁₀NO₅PS</t>
  </si>
  <si>
    <t>298-00-0</t>
  </si>
  <si>
    <t>C₁₀H₁₄NO₅PS</t>
  </si>
  <si>
    <t>56-38-2</t>
  </si>
  <si>
    <t>C₁₂H₂₁N₂O₃PS</t>
  </si>
  <si>
    <t>333-41-5</t>
  </si>
  <si>
    <t>C₁₀H₁₉O₆PS₂</t>
  </si>
  <si>
    <t>121-75-5</t>
  </si>
  <si>
    <t>C₁₀H₁₅OPS₂</t>
  </si>
  <si>
    <t>944-22-9</t>
  </si>
  <si>
    <t>C₁₁H₁₂NO₄PS₂</t>
  </si>
  <si>
    <t>732-11-6</t>
  </si>
  <si>
    <t>Org. Acids†: Org. DTPAs†</t>
  </si>
  <si>
    <t>C₇H₁₇O₂PS₃</t>
  </si>
  <si>
    <t>298-02-2</t>
  </si>
  <si>
    <t>C₇H₁₃O₆P</t>
  </si>
  <si>
    <t>7786-34-7</t>
  </si>
  <si>
    <t>C₁₂H₁₉O₂PS₃</t>
  </si>
  <si>
    <t>35400-43-2</t>
  </si>
  <si>
    <t>Org. Heterocycl. Compds.: Azoles</t>
  </si>
  <si>
    <t>C₁₄H₁₈ClN₂O₃PS</t>
  </si>
  <si>
    <t>89784-60-1</t>
  </si>
  <si>
    <t>C₈H₁₉O₂PS₃</t>
  </si>
  <si>
    <t>298-04-4</t>
  </si>
  <si>
    <t>C₁₃H₂₂NO₃PS</t>
  </si>
  <si>
    <t>22224-92-6</t>
  </si>
  <si>
    <t>C₁₂H₁₆N₃O₃PS</t>
  </si>
  <si>
    <t>24017-47-8</t>
  </si>
  <si>
    <t>C₈H₈Cl₂IO₃PS</t>
  </si>
  <si>
    <t>18181-70-9</t>
  </si>
  <si>
    <t>C₁₁H₁₅Cl₂O₃PS₂</t>
  </si>
  <si>
    <t>21923-23-9</t>
  </si>
  <si>
    <t>C₁₄H₁₇N₂O₄PS</t>
  </si>
  <si>
    <t>119-12-0</t>
  </si>
  <si>
    <t>C₁₃H₂₄N₃O₃PS</t>
  </si>
  <si>
    <t>23505-41-1</t>
  </si>
  <si>
    <t>C₁₂H₁₄BrCl₂O₄P</t>
  </si>
  <si>
    <t>33399-00-7</t>
  </si>
  <si>
    <t>C₂H₇O₃PS</t>
  </si>
  <si>
    <t>1112-38-5</t>
  </si>
  <si>
    <t>Org. Acids†: Org. Phosphonic Acids†</t>
  </si>
  <si>
    <t>C₁₀H₂₄O₆P₂</t>
  </si>
  <si>
    <t>995-32-4</t>
  </si>
  <si>
    <t>Org. Heterocycl. Compds.: Benzo-1,2,3-triazines</t>
  </si>
  <si>
    <t>C₁₂H₁₆N₃O₃PS₂</t>
  </si>
  <si>
    <t>2642-71-9</t>
  </si>
  <si>
    <t>Org. Heterocycl. Compds.: Diazanaphthalenes</t>
  </si>
  <si>
    <t>C₁₂H₁₅N₂O₃PS</t>
  </si>
  <si>
    <t>13593-03-8</t>
  </si>
  <si>
    <t>C₉H₁₁Cl₃NO₃PS</t>
  </si>
  <si>
    <t>2921-88-2</t>
  </si>
  <si>
    <t>C₁₀H₁₅O₃PS₂</t>
  </si>
  <si>
    <t>55-38-9</t>
  </si>
  <si>
    <t>C₁₁H₂₀N₃O₃PS</t>
  </si>
  <si>
    <t>29232-93-7</t>
  </si>
  <si>
    <t>C₂₂H₂₆O₃</t>
  </si>
  <si>
    <t>10453-86-8</t>
  </si>
  <si>
    <r>
      <rPr>
        <i/>
        <sz val="8"/>
        <color rgb="FF000000"/>
        <rFont val="Times New Roman"/>
        <family val="1"/>
      </rPr>
      <t xml:space="preserve">    </t>
    </r>
    <r>
      <rPr>
        <i/>
        <u/>
        <sz val="8"/>
        <color rgb="FF000000"/>
        <rFont val="Times New Roman"/>
        <family val="1"/>
      </rPr>
      <t>Organophosphate</t>
    </r>
  </si>
  <si>
    <t>C₁₆H₁₅Cl₃O₂</t>
  </si>
  <si>
    <t>72-43-5</t>
  </si>
  <si>
    <t>C₁₅H₂₃ClO₄S</t>
  </si>
  <si>
    <t>140-57-8</t>
  </si>
  <si>
    <t>C₆H₆Cl₆</t>
  </si>
  <si>
    <t>319-84-6</t>
  </si>
  <si>
    <t>C₁₄H₈Cl₄</t>
  </si>
  <si>
    <t>72-55-9</t>
  </si>
  <si>
    <t>319-85-7</t>
  </si>
  <si>
    <t>C₁₄H₉Cl₅</t>
  </si>
  <si>
    <t>789-02-6</t>
  </si>
  <si>
    <t>50-29-3</t>
  </si>
  <si>
    <t>C₁₀H₉Cl₉</t>
  </si>
  <si>
    <t>154159-06-5</t>
  </si>
  <si>
    <t>C₁₀H₅Cl₉</t>
  </si>
  <si>
    <t>5103-73-1</t>
  </si>
  <si>
    <t>C₁₂H₈Cl₂O₃S</t>
  </si>
  <si>
    <t>80-33-1</t>
  </si>
  <si>
    <t>C₁₆H₁₄Cl₂O₂</t>
  </si>
  <si>
    <t>2132-70-9</t>
  </si>
  <si>
    <t>C₁₈H₂₀Cl₂</t>
  </si>
  <si>
    <t>72-56-0</t>
  </si>
  <si>
    <t>30667-99-3</t>
  </si>
  <si>
    <t>Org. oxygen Compds.: Org. Oxoanionic Compds.</t>
  </si>
  <si>
    <t>C₉H₆Cl₆O₃S</t>
  </si>
  <si>
    <t>959-98-8</t>
  </si>
  <si>
    <t>53-19-0</t>
  </si>
  <si>
    <t>C₁₀H₁₀Cl₈</t>
  </si>
  <si>
    <t>142534-71-2</t>
  </si>
  <si>
    <t>C₁₄H₁₀Cl₄</t>
  </si>
  <si>
    <t>72-54-8</t>
  </si>
  <si>
    <t>58-89-9</t>
  </si>
  <si>
    <r>
      <t xml:space="preserve">    </t>
    </r>
    <r>
      <rPr>
        <i/>
        <u/>
        <sz val="8"/>
        <color rgb="FF000000"/>
        <rFont val="Times New Roman"/>
        <family val="1"/>
      </rPr>
      <t>Organochlorine</t>
    </r>
  </si>
  <si>
    <t>C₁₂H₁₇NO</t>
  </si>
  <si>
    <t>134-62-3</t>
  </si>
  <si>
    <r>
      <t xml:space="preserve">    </t>
    </r>
    <r>
      <rPr>
        <i/>
        <u/>
        <sz val="8"/>
        <color theme="1"/>
        <rFont val="Times New Roman"/>
        <family val="1"/>
      </rPr>
      <t>Insect Repellents</t>
    </r>
  </si>
  <si>
    <t>Organosulfur Compds.: Sulfonyls</t>
  </si>
  <si>
    <t>C₇H₁₄N₂O₄S</t>
  </si>
  <si>
    <t>1646-88-4</t>
  </si>
  <si>
    <r>
      <t xml:space="preserve">    </t>
    </r>
    <r>
      <rPr>
        <i/>
        <u/>
        <sz val="8"/>
        <color rgb="FF000000"/>
        <rFont val="Times New Roman"/>
        <family val="1"/>
      </rPr>
      <t>Carbamate Breakdown Products</t>
    </r>
  </si>
  <si>
    <t>Org. Acids†: Carboximidic Acids†</t>
  </si>
  <si>
    <t>CH₃SC(CH₃)₂CH=NOCONHCH₃</t>
  </si>
  <si>
    <t>116-06-3</t>
  </si>
  <si>
    <t>C₁₂H₁₁NO₂</t>
  </si>
  <si>
    <t>63-25-2</t>
  </si>
  <si>
    <t>Org. Acids†: Org. Carbonic Acids†</t>
  </si>
  <si>
    <t>C₅H₁₀N₂O₂S</t>
  </si>
  <si>
    <t>16752-77-5</t>
  </si>
  <si>
    <t>C₁₁H₁₅NO₃</t>
  </si>
  <si>
    <t>114-26-1</t>
  </si>
  <si>
    <t>C₇H₁₄N₂O₃S</t>
  </si>
  <si>
    <t>1646-87-3</t>
  </si>
  <si>
    <t>C₁₂H₁₅NO₄</t>
  </si>
  <si>
    <t>16655-82-6</t>
  </si>
  <si>
    <t>C₁₂H₁₅NO₃</t>
  </si>
  <si>
    <t>1563-66-2</t>
  </si>
  <si>
    <t>C₇H₁₃N₃O₃S</t>
  </si>
  <si>
    <t>23135-22-0</t>
  </si>
  <si>
    <r>
      <t xml:space="preserve">    </t>
    </r>
    <r>
      <rPr>
        <i/>
        <u/>
        <sz val="8"/>
        <color rgb="FF000000"/>
        <rFont val="Times New Roman"/>
        <family val="1"/>
      </rPr>
      <t>Carbamate</t>
    </r>
  </si>
  <si>
    <t xml:space="preserve">  Insecticides and Pesticides</t>
  </si>
  <si>
    <t>C₃H₈NO₅P</t>
  </si>
  <si>
    <t>1071-83-6</t>
  </si>
  <si>
    <t>Benzenoids: -</t>
  </si>
  <si>
    <t>C₁₀H₁₂N₂O₃S</t>
  </si>
  <si>
    <t>25057-89-0</t>
  </si>
  <si>
    <t>C₁₉H₁₄F₃NO</t>
  </si>
  <si>
    <t>59756-60-4</t>
  </si>
  <si>
    <t>C₈H₆Cl₂O₃</t>
  </si>
  <si>
    <t>1918-00-9</t>
  </si>
  <si>
    <t>C₁₅H₁₈Cl₂N₂O₃</t>
  </si>
  <si>
    <t>19666-30-9</t>
  </si>
  <si>
    <t>C₁₂H₁₄ClNO₂</t>
  </si>
  <si>
    <t>81777-89-1</t>
  </si>
  <si>
    <t>C₉H₁₃ClN₂O₂</t>
  </si>
  <si>
    <t>5902-51-2</t>
  </si>
  <si>
    <t>C₉H₁₃BrN₂O₂</t>
  </si>
  <si>
    <t>314-40-9</t>
  </si>
  <si>
    <t>C₁₃H₁₈N₂O₂</t>
  </si>
  <si>
    <t>2164-08-1</t>
  </si>
  <si>
    <r>
      <t xml:space="preserve">    </t>
    </r>
    <r>
      <rPr>
        <i/>
        <u/>
        <sz val="8"/>
        <color theme="1"/>
        <rFont val="Times New Roman"/>
        <family val="1"/>
      </rPr>
      <t>Uracil</t>
    </r>
  </si>
  <si>
    <t>C₈H₁₄N₄OS</t>
  </si>
  <si>
    <t>21087-64-9</t>
  </si>
  <si>
    <r>
      <t xml:space="preserve">    </t>
    </r>
    <r>
      <rPr>
        <i/>
        <u/>
        <sz val="8"/>
        <color rgb="FF000000"/>
        <rFont val="Times New Roman"/>
        <family val="1"/>
      </rPr>
      <t>Triazinone</t>
    </r>
  </si>
  <si>
    <t>Org. Heterocycl. Compds.: Triazines</t>
  </si>
  <si>
    <t>C₈H₁₄ClN₅</t>
  </si>
  <si>
    <t>1912-24-9</t>
  </si>
  <si>
    <t>C₉H₁₇N₅O</t>
  </si>
  <si>
    <t>1610-17-9</t>
  </si>
  <si>
    <t>C₈H₁₅N₅S</t>
  </si>
  <si>
    <t>1014-70-6</t>
  </si>
  <si>
    <t>C₁₀H₁₉N₅S</t>
  </si>
  <si>
    <t>886-50-0</t>
  </si>
  <si>
    <t>C₁₂H₂₀N₄O₂</t>
  </si>
  <si>
    <t>51235-04-2</t>
  </si>
  <si>
    <t>C₉H₁₆ClN₅</t>
  </si>
  <si>
    <t>139-40-2</t>
  </si>
  <si>
    <t>5915-41-3</t>
  </si>
  <si>
    <r>
      <t xml:space="preserve">    </t>
    </r>
    <r>
      <rPr>
        <i/>
        <u/>
        <sz val="8"/>
        <color rgb="FF000000"/>
        <rFont val="Times New Roman"/>
        <family val="1"/>
      </rPr>
      <t>Triazine</t>
    </r>
  </si>
  <si>
    <t>Organosulfur Compds.: Thiocarbonyl Compds.</t>
  </si>
  <si>
    <t>C₁₀H₁₇Cl₂NOS</t>
  </si>
  <si>
    <t>2303-16-4</t>
  </si>
  <si>
    <t>C₁₀H₂₁NOS</t>
  </si>
  <si>
    <t>1114-71-2</t>
  </si>
  <si>
    <t>C₁₁H₂₁NOS</t>
  </si>
  <si>
    <t>1134-23-2</t>
  </si>
  <si>
    <t>C₁₀H₁₆Cl₃NOS</t>
  </si>
  <si>
    <t>2303-17-5</t>
  </si>
  <si>
    <t>C₉H₁₉NOS</t>
  </si>
  <si>
    <t>759-94-4</t>
  </si>
  <si>
    <t>C₁₁H₂₃NOS</t>
  </si>
  <si>
    <t>2008-41-5</t>
  </si>
  <si>
    <t>1929-77-7</t>
  </si>
  <si>
    <t>Org. Heterocycl. Compds.: Azepanes</t>
  </si>
  <si>
    <t>C₉H₁₇NOS</t>
  </si>
  <si>
    <t>2212-67-1</t>
  </si>
  <si>
    <r>
      <t xml:space="preserve">    </t>
    </r>
    <r>
      <rPr>
        <i/>
        <u/>
        <sz val="8"/>
        <color theme="1"/>
        <rFont val="Times New Roman"/>
        <family val="1"/>
      </rPr>
      <t>Thiocarbamate</t>
    </r>
  </si>
  <si>
    <t>C₁₄H₁₅N₅O₆S</t>
  </si>
  <si>
    <t>74223-64-6</t>
  </si>
  <si>
    <t>C₁₅H₁₈N₆O₆S</t>
  </si>
  <si>
    <t>111991-09-4</t>
  </si>
  <si>
    <t>C₁₄H₁₆ClN₅O₅S</t>
  </si>
  <si>
    <t>82097-50-5</t>
  </si>
  <si>
    <t>C₁₆H₁₈N₄O₇S</t>
  </si>
  <si>
    <t>83055-99-6</t>
  </si>
  <si>
    <t>C₁₃H₁₅ClN₆O₇S</t>
  </si>
  <si>
    <t>100784-20-1</t>
  </si>
  <si>
    <t>C₁₅H₁₂F₄N₄O₇S</t>
  </si>
  <si>
    <t>86209-51-0</t>
  </si>
  <si>
    <t>C₁₄H₁₇N₅O₇S₂</t>
  </si>
  <si>
    <t>122931-48-0</t>
  </si>
  <si>
    <t>Org. Heterocycl. Compds.: Thiophenes</t>
  </si>
  <si>
    <t>C₁₂H₁₃N₅O₆S₂</t>
  </si>
  <si>
    <t>79277-27-3</t>
  </si>
  <si>
    <t>C₁₇H₁₈N₄O₆S</t>
  </si>
  <si>
    <t>144651-06-9</t>
  </si>
  <si>
    <t>C₁₅H₁₆F₃N₅O₄S</t>
  </si>
  <si>
    <t>94125-34-5</t>
  </si>
  <si>
    <r>
      <t xml:space="preserve">    </t>
    </r>
    <r>
      <rPr>
        <i/>
        <u/>
        <sz val="8"/>
        <color theme="1"/>
        <rFont val="Times New Roman"/>
        <family val="1"/>
      </rPr>
      <t>Sulfonylurea</t>
    </r>
  </si>
  <si>
    <t>C₉H₁₁ClN₂O</t>
  </si>
  <si>
    <t>150-68-5</t>
  </si>
  <si>
    <t>C₁₄H₂₀N₂O</t>
  </si>
  <si>
    <t>1982-49-6</t>
  </si>
  <si>
    <t>C₉H₁₆N₄OS</t>
  </si>
  <si>
    <t>34014-18-1</t>
  </si>
  <si>
    <t>C₉H₁₀Cl₂N₂O</t>
  </si>
  <si>
    <t>330-54-1</t>
  </si>
  <si>
    <t>C₉H₁₀Cl₂N₂O₂</t>
  </si>
  <si>
    <t>330-55-2</t>
  </si>
  <si>
    <r>
      <t xml:space="preserve">    </t>
    </r>
    <r>
      <rPr>
        <i/>
        <u/>
        <sz val="8"/>
        <color theme="1"/>
        <rFont val="Times New Roman"/>
        <family val="1"/>
      </rPr>
      <t>Phenylurea</t>
    </r>
  </si>
  <si>
    <t>C₉H₉ClO₃</t>
  </si>
  <si>
    <t>94-74-6</t>
  </si>
  <si>
    <t>C₁₀H₁₁ClO₃</t>
  </si>
  <si>
    <t>7085-19-0</t>
  </si>
  <si>
    <t>C₉H₇Cl₃O₃</t>
  </si>
  <si>
    <t>93-72-1</t>
  </si>
  <si>
    <r>
      <t xml:space="preserve">    </t>
    </r>
    <r>
      <rPr>
        <i/>
        <u/>
        <sz val="8"/>
        <color theme="1"/>
        <rFont val="Times New Roman"/>
        <family val="1"/>
      </rPr>
      <t>Phenoxy</t>
    </r>
  </si>
  <si>
    <t>C₇H₆N₂O₅</t>
  </si>
  <si>
    <t>534-52-1</t>
  </si>
  <si>
    <t>C₁₀H₁₂N₂O₅</t>
  </si>
  <si>
    <t>88-85-7</t>
  </si>
  <si>
    <r>
      <t xml:space="preserve">    </t>
    </r>
    <r>
      <rPr>
        <i/>
        <u/>
        <sz val="8"/>
        <color theme="1"/>
        <rFont val="Times New Roman"/>
        <family val="1"/>
      </rPr>
      <t>Dinitrophenol</t>
    </r>
  </si>
  <si>
    <t>C₁₃H₁₉N₃O₆S</t>
  </si>
  <si>
    <t>4726-14-1</t>
  </si>
  <si>
    <t>C₁₃H₁₉N₃O₄</t>
  </si>
  <si>
    <t>40487-42-1</t>
  </si>
  <si>
    <r>
      <t xml:space="preserve">    </t>
    </r>
    <r>
      <rPr>
        <i/>
        <u/>
        <sz val="8"/>
        <color theme="1"/>
        <rFont val="Times New Roman"/>
        <family val="1"/>
      </rPr>
      <t>Dinitroaniline</t>
    </r>
  </si>
  <si>
    <t>C₈H₁₂ClNO</t>
  </si>
  <si>
    <t>93-71-0</t>
  </si>
  <si>
    <t>C₁₇H₂₆ClNO₂</t>
  </si>
  <si>
    <t>51218-49-6</t>
  </si>
  <si>
    <t>C₁₁H₁₄ClNO</t>
  </si>
  <si>
    <t>1918-16-7</t>
  </si>
  <si>
    <t>C₁₅H₂₂ClNO₂</t>
  </si>
  <si>
    <t>51218-45-2</t>
  </si>
  <si>
    <t>C₁₃H₁₈ClNO₂</t>
  </si>
  <si>
    <t>50563-36-5</t>
  </si>
  <si>
    <t>C₁₄H₂₀ClNO₂</t>
  </si>
  <si>
    <t>15972-60-8</t>
  </si>
  <si>
    <t>34256-82-1</t>
  </si>
  <si>
    <t>86763-47-5</t>
  </si>
  <si>
    <r>
      <t xml:space="preserve">    </t>
    </r>
    <r>
      <rPr>
        <i/>
        <u/>
        <sz val="8"/>
        <color theme="1"/>
        <rFont val="Times New Roman"/>
        <family val="1"/>
      </rPr>
      <t>Chloroacetanilide</t>
    </r>
  </si>
  <si>
    <t>C₁₆H₁₇NO</t>
  </si>
  <si>
    <t>957-51-7</t>
  </si>
  <si>
    <t>ABBREVIATIONS FOR FOOTNOTE</t>
  </si>
  <si>
    <t>C₁₂H₁₁Cl₂NO</t>
  </si>
  <si>
    <t>23950-58-5</t>
  </si>
  <si>
    <t>C₁₇H₂₁NO₂</t>
  </si>
  <si>
    <t>15299-99-7</t>
  </si>
  <si>
    <r>
      <t xml:space="preserve">    </t>
    </r>
    <r>
      <rPr>
        <i/>
        <u/>
        <sz val="8"/>
        <color theme="1"/>
        <rFont val="Times New Roman"/>
        <family val="1"/>
      </rPr>
      <t>Amide</t>
    </r>
  </si>
  <si>
    <t xml:space="preserve">  Herbicides</t>
  </si>
  <si>
    <t>Thiophosphoric acids</t>
  </si>
  <si>
    <t>TPAs</t>
  </si>
  <si>
    <t>C₁₄H₂₀N₃O₅PS</t>
  </si>
  <si>
    <t>13457-18-6</t>
  </si>
  <si>
    <t>Tetraethyl ethylenediphosphonate</t>
  </si>
  <si>
    <t>TEEP</t>
  </si>
  <si>
    <t>C₁₂H₉Cl₂NO₃</t>
  </si>
  <si>
    <t>50471-44-8</t>
  </si>
  <si>
    <t>Tris(1,3-dichloro-2-propyl)phosphate</t>
  </si>
  <si>
    <t>TDCPP</t>
  </si>
  <si>
    <t>Org. Heterocycl. Compds.: Piperidines</t>
  </si>
  <si>
    <t>C₁₃H₁₁Cl₂NO₂</t>
  </si>
  <si>
    <t>32809-16-8</t>
  </si>
  <si>
    <t>Tris(1-chloro-2-propyl) phosphate</t>
  </si>
  <si>
    <t>TCPP</t>
  </si>
  <si>
    <t>C₁₂H₆F₂N₂O₂</t>
  </si>
  <si>
    <t>131341-86-1</t>
  </si>
  <si>
    <t>Tetrabromobisphenol A bis(allyl ether)</t>
  </si>
  <si>
    <t>TBBPA-BAE</t>
  </si>
  <si>
    <t>C₁₅H₂₁NO₄</t>
  </si>
  <si>
    <t>57837-19-1</t>
  </si>
  <si>
    <t>Substituted Derivatives</t>
  </si>
  <si>
    <t>SDs</t>
  </si>
  <si>
    <t>C₁₃H₂₄N₄O₃S</t>
  </si>
  <si>
    <t>41483-43-6</t>
  </si>
  <si>
    <t>PKs</t>
  </si>
  <si>
    <t>C₁₀H₁₃Cl₂FN₂O₂S₂</t>
  </si>
  <si>
    <t>731-27-1</t>
  </si>
  <si>
    <t>4-Chloro-3-methylphenol</t>
  </si>
  <si>
    <t>C₉H₁₁Cl₂FN₂O₂S₂</t>
  </si>
  <si>
    <t>1085-98-9</t>
  </si>
  <si>
    <t>Org. Heterocycl.</t>
  </si>
  <si>
    <r>
      <t xml:space="preserve">    </t>
    </r>
    <r>
      <rPr>
        <i/>
        <u/>
        <sz val="8"/>
        <color theme="1"/>
        <rFont val="Times New Roman"/>
        <family val="1"/>
      </rPr>
      <t>Sulfamide</t>
    </r>
  </si>
  <si>
    <t>Org</t>
  </si>
  <si>
    <t>C₉H₈Cl₃NO₂S</t>
  </si>
  <si>
    <t>133-06-2</t>
  </si>
  <si>
    <t>Octyl-dimethyl-p-aminobenzoic acid</t>
  </si>
  <si>
    <t>OD-PABA</t>
  </si>
  <si>
    <t>C₉H₄Cl₃NO₂S</t>
  </si>
  <si>
    <t>133-07-3</t>
  </si>
  <si>
    <t>3,3'-Dimethoxybenzidine</t>
  </si>
  <si>
    <r>
      <t xml:space="preserve">    </t>
    </r>
    <r>
      <rPr>
        <i/>
        <u/>
        <sz val="8"/>
        <color theme="1"/>
        <rFont val="Times New Roman"/>
        <family val="1"/>
      </rPr>
      <t>Phthalimide</t>
    </r>
  </si>
  <si>
    <t>N-Methylperfluoro-1-octanesulfonamidoacetic acid (linear)</t>
  </si>
  <si>
    <t>N-MeFOSAA</t>
  </si>
  <si>
    <t>C₆Cl₅NO₂</t>
  </si>
  <si>
    <t>82-68-8</t>
  </si>
  <si>
    <t>4,4'-Methylenebis(2-chloroaniline)</t>
  </si>
  <si>
    <t>MOCA</t>
  </si>
  <si>
    <t>C₆Cl₆</t>
  </si>
  <si>
    <t>118-74-1</t>
  </si>
  <si>
    <t>Mono(2-ethyl-5-oxohexyl) phthalate</t>
  </si>
  <si>
    <r>
      <t xml:space="preserve">    </t>
    </r>
    <r>
      <rPr>
        <i/>
        <u/>
        <sz val="8"/>
        <color theme="1"/>
        <rFont val="Times New Roman"/>
        <family val="1"/>
      </rPr>
      <t>Organochlorine</t>
    </r>
  </si>
  <si>
    <t>Mono(2-ethyl-5-hydroxyhexyl) phthalate</t>
  </si>
  <si>
    <t>MEHHP</t>
  </si>
  <si>
    <t>C₁₆H₁₃F₂N₃O</t>
  </si>
  <si>
    <t>76674-21-0</t>
  </si>
  <si>
    <t>Mono(5-carboxy-2-ethylpentyl) phthalate</t>
  </si>
  <si>
    <t>C₁₆H₈Cl₂FN₅O</t>
  </si>
  <si>
    <t>136426-54-5</t>
  </si>
  <si>
    <t>2-Methyl-4-chlorophenoxyacetic acid</t>
  </si>
  <si>
    <t>C₁₄H₁₆ClN₃O₂</t>
  </si>
  <si>
    <t>43121-43-3</t>
  </si>
  <si>
    <t>LLMs</t>
  </si>
  <si>
    <t>C₁₃H₁₅Cl₂N₃</t>
  </si>
  <si>
    <t>66246-88-6</t>
  </si>
  <si>
    <t>Lin.</t>
  </si>
  <si>
    <t>C₁₅H₁₆Cl₃N₃O₂</t>
  </si>
  <si>
    <t>67747-09-5</t>
  </si>
  <si>
    <t>2-Isopropyl-6-methyl-4-pyrimidinol</t>
  </si>
  <si>
    <t>IMHP</t>
  </si>
  <si>
    <t>C₁₆H₂₂ClN₃O</t>
  </si>
  <si>
    <t>107534-96-3</t>
  </si>
  <si>
    <t>4-Hydroxy-2,5-dimethyl-3(2H)-furanone</t>
  </si>
  <si>
    <t>Furaneol</t>
  </si>
  <si>
    <r>
      <t xml:space="preserve">    </t>
    </r>
    <r>
      <rPr>
        <i/>
        <u/>
        <sz val="8"/>
        <color theme="1"/>
        <rFont val="Times New Roman"/>
        <family val="1"/>
      </rPr>
      <t>Azole</t>
    </r>
  </si>
  <si>
    <t>N-Ethylperfluoro-1-octanesulfonamidoacetic acid (linear)</t>
  </si>
  <si>
    <t>EtFOSAA</t>
  </si>
  <si>
    <t>C₁₂H₁₃N₃</t>
  </si>
  <si>
    <t>53112-28-0</t>
  </si>
  <si>
    <t>Dithiophosphoric Acids</t>
  </si>
  <si>
    <t>DTPAs</t>
  </si>
  <si>
    <t>121552-61-2</t>
  </si>
  <si>
    <t>Compds.</t>
  </si>
  <si>
    <r>
      <t xml:space="preserve">    </t>
    </r>
    <r>
      <rPr>
        <i/>
        <u/>
        <sz val="8"/>
        <color theme="1"/>
        <rFont val="Times New Roman"/>
        <family val="1"/>
      </rPr>
      <t>Anilinopyrimidine</t>
    </r>
  </si>
  <si>
    <t>Compound ID (PubChem)</t>
  </si>
  <si>
    <t>CID</t>
  </si>
  <si>
    <t xml:space="preserve">  Fungicides</t>
  </si>
  <si>
    <t>Chemical Abstracts Service (Number)</t>
  </si>
  <si>
    <t>CAS</t>
  </si>
  <si>
    <t>AGROCHEMICALS</t>
  </si>
  <si>
    <t>2-Bromo-4-(2,4,4-trimethylpentan-2-yl)phenol</t>
  </si>
  <si>
    <t>ENVIRONMENTAL &amp; INDUSTRIAL CHEMICALS</t>
  </si>
  <si>
    <t>9-Chlorohexadecafluoro-3-oxanone-1-sulfonic acid</t>
  </si>
  <si>
    <t>9Cl-PF3ONS</t>
  </si>
  <si>
    <t>2,6-DCP-4’-NPE</t>
  </si>
  <si>
    <t>Test for spacing (longest)</t>
  </si>
  <si>
    <t>Concat</t>
  </si>
  <si>
    <t>Name</t>
  </si>
  <si>
    <t>Abbrev</t>
  </si>
  <si>
    <t>Superclass: Class</t>
  </si>
  <si>
    <t>IARC Group</t>
  </si>
  <si>
    <t>Variant Diff.</t>
  </si>
  <si>
    <t>Potential EDC</t>
  </si>
  <si>
    <t>Mono-isotopic Mass</t>
  </si>
  <si>
    <t>Formula</t>
  </si>
  <si>
    <t>Alias</t>
  </si>
  <si>
    <t>Class</t>
  </si>
  <si>
    <t>Control Detection</t>
  </si>
  <si>
    <t>Tumor Detection</t>
  </si>
  <si>
    <t>Range</t>
  </si>
  <si>
    <t>Mean Control Concentration (PPB)</t>
  </si>
  <si>
    <t>Mean Tumor Concentration (PPB)</t>
  </si>
  <si>
    <t>PCA</t>
  </si>
  <si>
    <t>Antioxidants</t>
  </si>
  <si>
    <t xml:space="preserve">Protocatechuic acid </t>
  </si>
  <si>
    <t>38-32,000</t>
  </si>
  <si>
    <t>CRCs</t>
  </si>
  <si>
    <t>9-2,400</t>
  </si>
  <si>
    <t>2-Nitrophenol</t>
  </si>
  <si>
    <t>CSIs</t>
  </si>
  <si>
    <t>17-81,000</t>
  </si>
  <si>
    <t>&lt; 1-11,000</t>
  </si>
  <si>
    <t>2,4-Dimethylphenol</t>
  </si>
  <si>
    <t>101-1,400,000</t>
  </si>
  <si>
    <t>290-140,000</t>
  </si>
  <si>
    <t>12-3,800</t>
  </si>
  <si>
    <t>47-6,400</t>
  </si>
  <si>
    <t>Dibenzofuran</t>
  </si>
  <si>
    <t>79-11,000</t>
  </si>
  <si>
    <t>539-57,000</t>
  </si>
  <si>
    <t>DPA</t>
  </si>
  <si>
    <t xml:space="preserve">Diphenylamine </t>
  </si>
  <si>
    <t>1-20,000</t>
  </si>
  <si>
    <t>12-1,400</t>
  </si>
  <si>
    <t>3C</t>
  </si>
  <si>
    <t>3-52,000</t>
  </si>
  <si>
    <t>57-27,000</t>
  </si>
  <si>
    <t>Nitrobenzene</t>
  </si>
  <si>
    <t>&lt; 1-3,800</t>
  </si>
  <si>
    <t>112-3,600</t>
  </si>
  <si>
    <t>O,O-DiethylPhosphonate</t>
  </si>
  <si>
    <t>O,O-Diethyl phosphonate</t>
  </si>
  <si>
    <t>10-32,000</t>
  </si>
  <si>
    <t>17-240,000</t>
  </si>
  <si>
    <t>32-170,000</t>
  </si>
  <si>
    <t>Phenol,2-octyl-</t>
  </si>
  <si>
    <t>Phenol, 2-octyl-</t>
  </si>
  <si>
    <t>&lt; 1-1,400</t>
  </si>
  <si>
    <t>Phenol*</t>
  </si>
  <si>
    <t>1-1,400</t>
  </si>
  <si>
    <t>PTU</t>
  </si>
  <si>
    <t xml:space="preserve">Propylene thiourea </t>
  </si>
  <si>
    <t>7-53,000</t>
  </si>
  <si>
    <t>TBPhe</t>
  </si>
  <si>
    <t xml:space="preserve">2,4,6-Tribromophenol </t>
  </si>
  <si>
    <t>7-221</t>
  </si>
  <si>
    <t>THPI</t>
  </si>
  <si>
    <t xml:space="preserve">Tetrahydrophthalimide </t>
  </si>
  <si>
    <t>113-12,000</t>
  </si>
  <si>
    <t>2-Methylnaphthalene</t>
  </si>
  <si>
    <t>Combustion Byproducts</t>
  </si>
  <si>
    <t>21-4,700</t>
  </si>
  <si>
    <t>19-275</t>
  </si>
  <si>
    <t>228-43,000</t>
  </si>
  <si>
    <t>Acenaphthylene</t>
  </si>
  <si>
    <t>17-4,100</t>
  </si>
  <si>
    <t>Anthracene</t>
  </si>
  <si>
    <t>&lt; 1-1,800</t>
  </si>
  <si>
    <t>Benz(a)anthracene</t>
  </si>
  <si>
    <t>4-7,700</t>
  </si>
  <si>
    <t>2-16,000</t>
  </si>
  <si>
    <t>2-6,700</t>
  </si>
  <si>
    <t>7-13,000</t>
  </si>
  <si>
    <t>Chrysene</t>
  </si>
  <si>
    <t>1-144</t>
  </si>
  <si>
    <t>439-30,000</t>
  </si>
  <si>
    <t>1-16,000</t>
  </si>
  <si>
    <t>Fluoranthene</t>
  </si>
  <si>
    <t>6-772</t>
  </si>
  <si>
    <t>Naphthalene</t>
  </si>
  <si>
    <t>9-7,100</t>
  </si>
  <si>
    <t>8-290,000</t>
  </si>
  <si>
    <t>Phenanthrene</t>
  </si>
  <si>
    <t>3-2,100</t>
  </si>
  <si>
    <t>Pyrene</t>
  </si>
  <si>
    <t>2-3,500</t>
  </si>
  <si>
    <t>Dis BD Prod</t>
  </si>
  <si>
    <t>&lt; 1-97</t>
  </si>
  <si>
    <t>1-naphthol</t>
  </si>
  <si>
    <t>Dye intermediates</t>
  </si>
  <si>
    <t>1-Naphthol</t>
  </si>
  <si>
    <t>26-6,000</t>
  </si>
  <si>
    <t>1-Naphthylamine</t>
  </si>
  <si>
    <t>146-29,000</t>
  </si>
  <si>
    <t>2-ABP</t>
  </si>
  <si>
    <t xml:space="preserve">2-Aminobiphenyl </t>
  </si>
  <si>
    <t>49-9,200</t>
  </si>
  <si>
    <t>2-Naphthylamine</t>
  </si>
  <si>
    <t>74-200,000</t>
  </si>
  <si>
    <t>2-Nitroaniline</t>
  </si>
  <si>
    <t>730-25,000</t>
  </si>
  <si>
    <t>2,4-diaminoanisole</t>
  </si>
  <si>
    <t>2,4-Diaminoanisole (as sulfate hydrate)</t>
  </si>
  <si>
    <t>303-370,000</t>
  </si>
  <si>
    <t>4-ABP</t>
  </si>
  <si>
    <t xml:space="preserve">4-Aminobiphenyl </t>
  </si>
  <si>
    <t>1-660,000</t>
  </si>
  <si>
    <t>4-chloroaniline</t>
  </si>
  <si>
    <t>4-Chloroaniline</t>
  </si>
  <si>
    <t>5-5,300</t>
  </si>
  <si>
    <t>5-NOT</t>
  </si>
  <si>
    <t xml:space="preserve">5-Nitro-o-toluidine </t>
  </si>
  <si>
    <t>1-2,200</t>
  </si>
  <si>
    <t>Anthraquinone</t>
  </si>
  <si>
    <t>1-24,000</t>
  </si>
  <si>
    <t>Azobenzene</t>
  </si>
  <si>
    <t>11-69,000</t>
  </si>
  <si>
    <t>&lt; 1-3,900</t>
  </si>
  <si>
    <t>Carbazole</t>
  </si>
  <si>
    <t>3-35,000</t>
  </si>
  <si>
    <t>27-12,000</t>
  </si>
  <si>
    <t>50-11,000</t>
  </si>
  <si>
    <t>7-440,000</t>
  </si>
  <si>
    <t>2-1,100,000</t>
  </si>
  <si>
    <t>o-Toluidine</t>
  </si>
  <si>
    <t>106-88,000</t>
  </si>
  <si>
    <t>13-2,600</t>
  </si>
  <si>
    <t>p-Aminoazobenzene</t>
  </si>
  <si>
    <t>4-217</t>
  </si>
  <si>
    <t>121-1,300</t>
  </si>
  <si>
    <t>Ethyl myristate</t>
  </si>
  <si>
    <t>Emollients</t>
  </si>
  <si>
    <t>&lt; 1-48,000</t>
  </si>
  <si>
    <t>Ethyl oleate</t>
  </si>
  <si>
    <t>79-990,000</t>
  </si>
  <si>
    <t>Ethyl palmitate</t>
  </si>
  <si>
    <t>5-81,000</t>
  </si>
  <si>
    <t>Explosive Intermediates</t>
  </si>
  <si>
    <t>32-47,000</t>
  </si>
  <si>
    <t>56-42,000</t>
  </si>
  <si>
    <t>Flame Retardants</t>
  </si>
  <si>
    <t>9-1,600</t>
  </si>
  <si>
    <t>BDE-47</t>
  </si>
  <si>
    <t>10-413</t>
  </si>
  <si>
    <t>20-1,600</t>
  </si>
  <si>
    <t>TCP</t>
  </si>
  <si>
    <t xml:space="preserve">Tri-P-cresyl phosphate </t>
  </si>
  <si>
    <t>226-3,400</t>
  </si>
  <si>
    <t>8-13,000</t>
  </si>
  <si>
    <t>TTBNP</t>
  </si>
  <si>
    <t>Tris(tribromoneopentyl)</t>
  </si>
  <si>
    <t>183-19,000,000</t>
  </si>
  <si>
    <t>TTBNPP</t>
  </si>
  <si>
    <t>14-30,000</t>
  </si>
  <si>
    <t>Acetophenone</t>
  </si>
  <si>
    <t>FFAs</t>
  </si>
  <si>
    <t>151-72,000</t>
  </si>
  <si>
    <t>&lt; 1-466</t>
  </si>
  <si>
    <t>&lt; 1</t>
  </si>
  <si>
    <t>43-6,700</t>
  </si>
  <si>
    <t>Ethyl butyrate</t>
  </si>
  <si>
    <t>&lt; 1-3,600</t>
  </si>
  <si>
    <t>Ethyl caprate*</t>
  </si>
  <si>
    <t>32-28,000</t>
  </si>
  <si>
    <t>Ethyl caproate</t>
  </si>
  <si>
    <t>&lt; 1-1,500</t>
  </si>
  <si>
    <t>8-395</t>
  </si>
  <si>
    <t>Ethyl heptanoate</t>
  </si>
  <si>
    <t>&lt; 1-34,000</t>
  </si>
  <si>
    <t>Ethyl maltol</t>
  </si>
  <si>
    <t>73-590,000</t>
  </si>
  <si>
    <t>Ethyl pelargonate*</t>
  </si>
  <si>
    <t>&lt; 1-1,200</t>
  </si>
  <si>
    <t>Ethyl stearate*</t>
  </si>
  <si>
    <t>2-46,000</t>
  </si>
  <si>
    <t>Ethyl valerate</t>
  </si>
  <si>
    <t>Ethyl vanillin</t>
  </si>
  <si>
    <t>4-4,800</t>
  </si>
  <si>
    <t>721-340,000</t>
  </si>
  <si>
    <t>Hexanoic acid</t>
  </si>
  <si>
    <t>37-480,000</t>
  </si>
  <si>
    <t>Hydroxycitronellal</t>
  </si>
  <si>
    <t>12-51,000</t>
  </si>
  <si>
    <t>Isosafrole</t>
  </si>
  <si>
    <t>21-62,000</t>
  </si>
  <si>
    <t>Menthol</t>
  </si>
  <si>
    <t>(-)-Menthol</t>
  </si>
  <si>
    <t>32-18,000</t>
  </si>
  <si>
    <t>Menthone</t>
  </si>
  <si>
    <t>&lt; 1-3,500</t>
  </si>
  <si>
    <t>Safrole</t>
  </si>
  <si>
    <t>8-1,400</t>
  </si>
  <si>
    <t>Thymol</t>
  </si>
  <si>
    <t>2-2,300</t>
  </si>
  <si>
    <t>Vanillin</t>
  </si>
  <si>
    <t>10-21,000</t>
  </si>
  <si>
    <t>Captan</t>
  </si>
  <si>
    <t>Fungicides</t>
  </si>
  <si>
    <t>54-15,000</t>
  </si>
  <si>
    <t>178-8,600</t>
  </si>
  <si>
    <t>Dichlofluanid</t>
  </si>
  <si>
    <t>&lt; 1-37,000</t>
  </si>
  <si>
    <t>Fluquinconazole</t>
  </si>
  <si>
    <t>&lt; 1-2,100</t>
  </si>
  <si>
    <t>Flutriafol</t>
  </si>
  <si>
    <t>12-820,000</t>
  </si>
  <si>
    <t>101-52,000</t>
  </si>
  <si>
    <t>HCB</t>
  </si>
  <si>
    <t xml:space="preserve">Hexachlorobenzene </t>
  </si>
  <si>
    <t>&lt; 1-554</t>
  </si>
  <si>
    <t>Metalaxyl</t>
  </si>
  <si>
    <t>&lt; 1-2,500</t>
  </si>
  <si>
    <t>Penconazole</t>
  </si>
  <si>
    <t>96-21,000</t>
  </si>
  <si>
    <t>Pyrimethanil</t>
  </si>
  <si>
    <t>256-3,100</t>
  </si>
  <si>
    <t>92-25,000</t>
  </si>
  <si>
    <t>Tolylfluanid</t>
  </si>
  <si>
    <t>8-2,400</t>
  </si>
  <si>
    <t>Triadimefon</t>
  </si>
  <si>
    <t>21-42,000</t>
  </si>
  <si>
    <t>Acetochlor</t>
  </si>
  <si>
    <t>Herbicides</t>
  </si>
  <si>
    <t>7-250,000</t>
  </si>
  <si>
    <t>Alachlor</t>
  </si>
  <si>
    <t>16-47,000</t>
  </si>
  <si>
    <t>50-3,100</t>
  </si>
  <si>
    <t>5-120,000</t>
  </si>
  <si>
    <t>2-5,200</t>
  </si>
  <si>
    <t>Bromacil</t>
  </si>
  <si>
    <t>Butylate</t>
  </si>
  <si>
    <t>&lt; 1-1,100</t>
  </si>
  <si>
    <t>Diallate-cis</t>
  </si>
  <si>
    <t>184-16,000</t>
  </si>
  <si>
    <t>14-2,600</t>
  </si>
  <si>
    <t>2-7,600</t>
  </si>
  <si>
    <t>64-1,800</t>
  </si>
  <si>
    <t>Diphenamid</t>
  </si>
  <si>
    <t>42-33,000</t>
  </si>
  <si>
    <t>32-59,000</t>
  </si>
  <si>
    <t>Fenoprop</t>
  </si>
  <si>
    <t>41-59,000</t>
  </si>
  <si>
    <t>6-4,900</t>
  </si>
  <si>
    <t>metsulfuron-methyl</t>
  </si>
  <si>
    <t>Metsulfuron-methyl</t>
  </si>
  <si>
    <t>12-1,300</t>
  </si>
  <si>
    <t>&lt; 1-270,000</t>
  </si>
  <si>
    <t>Pretilachlor</t>
  </si>
  <si>
    <t>2-39,000</t>
  </si>
  <si>
    <t>60-180,000</t>
  </si>
  <si>
    <t>&lt; 1-250,000</t>
  </si>
  <si>
    <t>Propisochlor</t>
  </si>
  <si>
    <t>9-4,700</t>
  </si>
  <si>
    <t>Terbacil</t>
  </si>
  <si>
    <t>10-2,600</t>
  </si>
  <si>
    <t>9-9,500</t>
  </si>
  <si>
    <t>TFM</t>
  </si>
  <si>
    <t xml:space="preserve">Thifensulfuron-methyl </t>
  </si>
  <si>
    <t>11-2,500</t>
  </si>
  <si>
    <t>14-5,900</t>
  </si>
  <si>
    <t>Vernolate</t>
  </si>
  <si>
    <t>3-67,000</t>
  </si>
  <si>
    <t>Glycerin*</t>
  </si>
  <si>
    <t>Humectants</t>
  </si>
  <si>
    <t>100-9,800</t>
  </si>
  <si>
    <t>2,4'-Methoxychlor</t>
  </si>
  <si>
    <t>Insecticides and Pesticides</t>
  </si>
  <si>
    <t>6-80,000</t>
  </si>
  <si>
    <t>113-1,600</t>
  </si>
  <si>
    <t>Acrinathrin</t>
  </si>
  <si>
    <t>&lt; 1-4,800</t>
  </si>
  <si>
    <t>Aldicarb</t>
  </si>
  <si>
    <t>6-44,000</t>
  </si>
  <si>
    <t>&lt; 1-20,000</t>
  </si>
  <si>
    <t>Bifenthrin</t>
  </si>
  <si>
    <t>16-6,700</t>
  </si>
  <si>
    <t>33-210,000</t>
  </si>
  <si>
    <t>carbofuran</t>
  </si>
  <si>
    <t>Carbofuran</t>
  </si>
  <si>
    <t>24-22,000</t>
  </si>
  <si>
    <t>16-854</t>
  </si>
  <si>
    <t>183-11,000</t>
  </si>
  <si>
    <t>13-2,400</t>
  </si>
  <si>
    <t>DEET</t>
  </si>
  <si>
    <t xml:space="preserve">N,N-Diethyl-meta-toluamide </t>
  </si>
  <si>
    <t>26-6,300</t>
  </si>
  <si>
    <t>4-2,800</t>
  </si>
  <si>
    <t>2-180,000</t>
  </si>
  <si>
    <t>1-4,900</t>
  </si>
  <si>
    <t>Endosulfan</t>
  </si>
  <si>
    <t xml:space="preserve">Endosulfan I </t>
  </si>
  <si>
    <t>14-4,800</t>
  </si>
  <si>
    <t>Ethylan</t>
  </si>
  <si>
    <t>&lt; 1-940</t>
  </si>
  <si>
    <t>2-1,700</t>
  </si>
  <si>
    <t>1-331</t>
  </si>
  <si>
    <t>28-9,200</t>
  </si>
  <si>
    <t>gamma-Benzene hexachloride</t>
  </si>
  <si>
    <t>120-16,000</t>
  </si>
  <si>
    <t>30-32,000</t>
  </si>
  <si>
    <t>4-2,100</t>
  </si>
  <si>
    <t>9-340,000</t>
  </si>
  <si>
    <t>methomyl</t>
  </si>
  <si>
    <t>Methomyl</t>
  </si>
  <si>
    <t>20-14,000</t>
  </si>
  <si>
    <t>17-1,200</t>
  </si>
  <si>
    <t>20-4,000</t>
  </si>
  <si>
    <t>22-1,600</t>
  </si>
  <si>
    <t>p,p'-DDE</t>
  </si>
  <si>
    <t xml:space="preserve">4,4'-DDE </t>
  </si>
  <si>
    <t>4-3,200</t>
  </si>
  <si>
    <t>Quinalphos</t>
  </si>
  <si>
    <t>3-10,000</t>
  </si>
  <si>
    <t>5-2,800</t>
  </si>
  <si>
    <t xml:space="preserve">Tetraethyl ethylenediphosphonate </t>
  </si>
  <si>
    <t>&lt; 1-22,000</t>
  </si>
  <si>
    <t>Tefluthrin</t>
  </si>
  <si>
    <t>32-20,000,000</t>
  </si>
  <si>
    <t>9-1,000</t>
  </si>
  <si>
    <t>Lubricants</t>
  </si>
  <si>
    <t>&lt; 1-3,200</t>
  </si>
  <si>
    <t>7-2,800</t>
  </si>
  <si>
    <t>Organic UV Filters</t>
  </si>
  <si>
    <t>38-5,100</t>
  </si>
  <si>
    <t>OMC</t>
  </si>
  <si>
    <t xml:space="preserve">Occtyl-Methoxycinnamate </t>
  </si>
  <si>
    <t>2-170,000</t>
  </si>
  <si>
    <t>oxybenzone</t>
  </si>
  <si>
    <t xml:space="preserve">Benzophenone-3 </t>
  </si>
  <si>
    <t>6-6,700</t>
  </si>
  <si>
    <t>PCBs</t>
  </si>
  <si>
    <t>15-493</t>
  </si>
  <si>
    <t>PCB-132</t>
  </si>
  <si>
    <t>11-2,000</t>
  </si>
  <si>
    <t>14-1,500</t>
  </si>
  <si>
    <t>PCB-153</t>
  </si>
  <si>
    <t>15-588</t>
  </si>
  <si>
    <t>26-4,800</t>
  </si>
  <si>
    <t>44-2,500</t>
  </si>
  <si>
    <t>14-514</t>
  </si>
  <si>
    <t>20-964</t>
  </si>
  <si>
    <t>7-83</t>
  </si>
  <si>
    <t>PFAS</t>
  </si>
  <si>
    <t xml:space="preserve">  N-MeFOSAA</t>
  </si>
  <si>
    <t>&lt; 1-46,000</t>
  </si>
  <si>
    <t>PFHxA</t>
  </si>
  <si>
    <t>Perfluorohexanoic Acid</t>
  </si>
  <si>
    <t>13-4,500</t>
  </si>
  <si>
    <t>153-53,000</t>
  </si>
  <si>
    <t>PFTA</t>
  </si>
  <si>
    <t>Perfluoro-n-tetradecanoic acid</t>
  </si>
  <si>
    <t>149-7,600,000</t>
  </si>
  <si>
    <t>Caffeine</t>
  </si>
  <si>
    <t>Pharmacologic Agents</t>
  </si>
  <si>
    <t>46-2,600,000</t>
  </si>
  <si>
    <t>15-1,200,000</t>
  </si>
  <si>
    <t>Nicotine</t>
  </si>
  <si>
    <t>1700-6,700</t>
  </si>
  <si>
    <t>Phenacetin</t>
  </si>
  <si>
    <t>15-3,300</t>
  </si>
  <si>
    <t>Plant Growth Regulators</t>
  </si>
  <si>
    <t>142-6,500</t>
  </si>
  <si>
    <t>12-2,100</t>
  </si>
  <si>
    <t>&lt; 1-1,300</t>
  </si>
  <si>
    <t>BBP</t>
  </si>
  <si>
    <t>PaPA</t>
  </si>
  <si>
    <t xml:space="preserve">Butyl benzyl phthalate </t>
  </si>
  <si>
    <t>25-64,000</t>
  </si>
  <si>
    <t>125-50,000</t>
  </si>
  <si>
    <t>74-22,000</t>
  </si>
  <si>
    <t>11-1,100</t>
  </si>
  <si>
    <t>2-750,000</t>
  </si>
  <si>
    <t>DEP</t>
  </si>
  <si>
    <t xml:space="preserve">Diethyl phthalate </t>
  </si>
  <si>
    <t>226-57,000</t>
  </si>
  <si>
    <t>Dibutyl phthalate</t>
  </si>
  <si>
    <t xml:space="preserve">Di-n-butyl phthalate </t>
  </si>
  <si>
    <t>83-23,000</t>
  </si>
  <si>
    <t>DNOP</t>
  </si>
  <si>
    <t xml:space="preserve">Di-n-octyl phthalate </t>
  </si>
  <si>
    <t>2-500,000</t>
  </si>
  <si>
    <t>EHDP</t>
  </si>
  <si>
    <t xml:space="preserve">2-Ethylhexyldiphenylphosphate </t>
  </si>
  <si>
    <t>&lt; 1-16,000</t>
  </si>
  <si>
    <t>27-3,600</t>
  </si>
  <si>
    <t>MEHP</t>
  </si>
  <si>
    <t>Mono-2-ethylhexyl phthalate</t>
  </si>
  <si>
    <t>5-26,000</t>
  </si>
  <si>
    <t>MEP</t>
  </si>
  <si>
    <t>Mono-ethyl phthalate</t>
  </si>
  <si>
    <t>7-30,000</t>
  </si>
  <si>
    <t>MiBP</t>
  </si>
  <si>
    <t>Mono-isobutyl phthalate</t>
  </si>
  <si>
    <t>49-1,500</t>
  </si>
  <si>
    <t>MMP</t>
  </si>
  <si>
    <t>Mono-methyl phthalate</t>
  </si>
  <si>
    <t>16-120,000</t>
  </si>
  <si>
    <t>MnBP</t>
  </si>
  <si>
    <t>Mono-n-butyl phthalate</t>
  </si>
  <si>
    <t>68-1,800</t>
  </si>
  <si>
    <t>7-1,600</t>
  </si>
  <si>
    <t>TBEP</t>
  </si>
  <si>
    <t>Tris(2-butoxyethyl) phosphate</t>
  </si>
  <si>
    <t>683-2,200,000</t>
  </si>
  <si>
    <t>TEHP</t>
  </si>
  <si>
    <t>Tris(2-ethylhexyl) phosphate</t>
  </si>
  <si>
    <t>14-48,000</t>
  </si>
  <si>
    <t>6-2,300</t>
  </si>
  <si>
    <t>4-hydroxybenzoic acid</t>
  </si>
  <si>
    <t>Preservatives</t>
  </si>
  <si>
    <t>&lt; 1-4,100</t>
  </si>
  <si>
    <t>Benzoic acid</t>
  </si>
  <si>
    <t>8-3,500</t>
  </si>
  <si>
    <t>2-2,600</t>
  </si>
  <si>
    <t>61-40,000</t>
  </si>
  <si>
    <t>Ethylparaben</t>
  </si>
  <si>
    <t>17-7,000</t>
  </si>
  <si>
    <t>Isobutylparaben</t>
  </si>
  <si>
    <t>32-94,000</t>
  </si>
  <si>
    <t>Isopropylparaben</t>
  </si>
  <si>
    <t>63-18,000</t>
  </si>
  <si>
    <t>Methylparaben</t>
  </si>
  <si>
    <t>5-8,300</t>
  </si>
  <si>
    <t>&lt; 1-1,900</t>
  </si>
  <si>
    <t>Side-Reaction Byproducts</t>
  </si>
  <si>
    <t>3-98,000</t>
  </si>
  <si>
    <t>Solvents</t>
  </si>
  <si>
    <t>202-230,000</t>
  </si>
  <si>
    <t>2-Picoline</t>
  </si>
  <si>
    <t>41-100,000</t>
  </si>
  <si>
    <t>175-620,000</t>
  </si>
  <si>
    <t>6-6,600</t>
  </si>
  <si>
    <t>3-5,300</t>
  </si>
  <si>
    <t>27-2,000</t>
  </si>
  <si>
    <t>9-1,200</t>
  </si>
  <si>
    <t>NMOR</t>
  </si>
  <si>
    <t xml:space="preserve">N-Nitrosomorpholine </t>
  </si>
  <si>
    <t>40-55,000</t>
  </si>
  <si>
    <t>Toluene</t>
  </si>
  <si>
    <t>&lt; 1-268</t>
  </si>
  <si>
    <t>4-Tert-Octylphenol</t>
  </si>
  <si>
    <t>Surfactants or Dertegents</t>
  </si>
  <si>
    <t>4-Tert-octylphenol</t>
  </si>
  <si>
    <t>&lt; 1-5,300,000</t>
  </si>
  <si>
    <t>Nonylphenol</t>
  </si>
  <si>
    <t>&lt; 1-41,000</t>
  </si>
  <si>
    <t>Nonylphenol diethoxylate</t>
  </si>
  <si>
    <t>44-4,100</t>
  </si>
  <si>
    <t>8-2,700</t>
  </si>
  <si>
    <t>Pentachlorobenzene</t>
  </si>
  <si>
    <t>Wood Preservatives</t>
  </si>
  <si>
    <t>5-250</t>
  </si>
  <si>
    <t>Usage Class</t>
  </si>
  <si>
    <t>Range (Th. Min to Max, PPB)</t>
  </si>
  <si>
    <t>Mean Ctrl PPB</t>
  </si>
  <si>
    <t>Mean Tumor PPB</t>
  </si>
  <si>
    <t>Adipose (PPB)</t>
  </si>
  <si>
    <t>Urine (Non-Smokers/Not Spec)</t>
  </si>
  <si>
    <t>Plasma</t>
  </si>
  <si>
    <t>Acenaphthene</t>
  </si>
  <si>
    <t>Combustion Byproducts (PAH)</t>
  </si>
  <si>
    <t>228—43000</t>
  </si>
  <si>
    <t>0.49—10.25</t>
  </si>
  <si>
    <t>17—4100</t>
  </si>
  <si>
    <t>0.33—4.38</t>
  </si>
  <si>
    <t>0.3—1800</t>
  </si>
  <si>
    <t>0.38—42</t>
  </si>
  <si>
    <t>4—7700</t>
  </si>
  <si>
    <t>0.14—1.11</t>
  </si>
  <si>
    <t>Benzo(b)fluoranthene</t>
  </si>
  <si>
    <t>2—16000</t>
  </si>
  <si>
    <t>0.21—0.54</t>
  </si>
  <si>
    <t>Benzo(k)fluoranthene</t>
  </si>
  <si>
    <t>2—6700</t>
  </si>
  <si>
    <t>0.15—0.42</t>
  </si>
  <si>
    <t>1.54 µg/L</t>
  </si>
  <si>
    <t>Benzo[a]pyrene</t>
  </si>
  <si>
    <t>7—13000</t>
  </si>
  <si>
    <t>0.16—0.34</t>
  </si>
  <si>
    <t>1—144</t>
  </si>
  <si>
    <t>0.14—0.38</t>
  </si>
  <si>
    <t>Dibenz(a,h)anthracene (DBahA)</t>
  </si>
  <si>
    <t>439—30000</t>
  </si>
  <si>
    <t>0.11—0.49</t>
  </si>
  <si>
    <t>6—772</t>
  </si>
  <si>
    <t>0.61—49.44</t>
  </si>
  <si>
    <t>0.9 µg/L</t>
  </si>
  <si>
    <t>9—7100</t>
  </si>
  <si>
    <t>14.76—50.002</t>
  </si>
  <si>
    <t>0.84 µg/L</t>
  </si>
  <si>
    <t>3—2100</t>
  </si>
  <si>
    <t>2.95—139.43</t>
  </si>
  <si>
    <t>0.47 µg/L</t>
  </si>
  <si>
    <t>2—3500</t>
  </si>
  <si>
    <t>0.4—28.43</t>
  </si>
  <si>
    <t>1.94 µg/L</t>
  </si>
  <si>
    <t>2-Aminobiphenyl (2-ABP)</t>
  </si>
  <si>
    <t>49—9200</t>
  </si>
  <si>
    <t>74—200000</t>
  </si>
  <si>
    <t xml:space="preserve">2.1 PPB non-smokers, 3.9 PPB smokers </t>
  </si>
  <si>
    <t>4-Aminobiphenyl (4-ABP)</t>
  </si>
  <si>
    <t>1—660000</t>
  </si>
  <si>
    <t>5.06 (ng/g Cr), 4.2 pg/mL, 23.1 (ng/g Cr), 21.8 pg/mL non-smokers, smokers</t>
  </si>
  <si>
    <t>Benzidine</t>
  </si>
  <si>
    <t>0.54—3900</t>
  </si>
  <si>
    <t>0.1—37 PPB (Occupational)</t>
  </si>
  <si>
    <t>106—88000</t>
  </si>
  <si>
    <t>355 (ng/g Cr), 293 pg/mL non-smokers, 485 (ng/g Cr), 458 pg/mL smokers</t>
  </si>
  <si>
    <t>Insecticides and Pesticides (Organochlorine)</t>
  </si>
  <si>
    <t>120—16000</t>
  </si>
  <si>
    <t>&lt;LOD</t>
  </si>
  <si>
    <t>PCB-105</t>
  </si>
  <si>
    <t>15—493</t>
  </si>
  <si>
    <t>1.2 (ng/g lipid)</t>
  </si>
  <si>
    <t>11—2000</t>
  </si>
  <si>
    <t>PCB-138</t>
  </si>
  <si>
    <t>14—1500</t>
  </si>
  <si>
    <t>3.26, 2.51</t>
  </si>
  <si>
    <t>19.9 (ng/g lipid)</t>
  </si>
  <si>
    <t>15—588</t>
  </si>
  <si>
    <t>3.28, 2.49</t>
  </si>
  <si>
    <t>27.2 (ng/g lipid)</t>
  </si>
  <si>
    <t>PCB-172</t>
  </si>
  <si>
    <t>26—4800</t>
  </si>
  <si>
    <t>0.647 (ng/g lipid)</t>
  </si>
  <si>
    <t>PCB-180</t>
  </si>
  <si>
    <t>44—2500</t>
  </si>
  <si>
    <t>1.17, 0.42</t>
  </si>
  <si>
    <t>19.2 (ng/g lipid)</t>
  </si>
  <si>
    <t>PCB-187</t>
  </si>
  <si>
    <t>14—514</t>
  </si>
  <si>
    <t>0.06, &lt;LOD</t>
  </si>
  <si>
    <t>4.23 (ng/g lipid)</t>
  </si>
  <si>
    <t>PCB-191</t>
  </si>
  <si>
    <t>20—964</t>
  </si>
  <si>
    <t>PCB-70</t>
  </si>
  <si>
    <t>7—83</t>
  </si>
  <si>
    <t>15—3300</t>
  </si>
  <si>
    <t xml:space="preserve">Nlycynska 2022 </t>
  </si>
  <si>
    <t>Wang 2010</t>
  </si>
  <si>
    <t>Riffelmann 1995</t>
  </si>
  <si>
    <t>NHANES (max)</t>
  </si>
  <si>
    <t>Vermillion 2022</t>
  </si>
  <si>
    <t>Hsu 1996</t>
  </si>
  <si>
    <t>µg/L, ng/mL was most reports, but converted to PPB</t>
  </si>
  <si>
    <t>CP1001</t>
  </si>
  <si>
    <t>PCB-66</t>
  </si>
  <si>
    <t>CP1002</t>
  </si>
  <si>
    <t>PCB-146</t>
  </si>
  <si>
    <t>CP1003</t>
  </si>
  <si>
    <t>PCB-157</t>
  </si>
  <si>
    <t>69782-90-7</t>
  </si>
  <si>
    <t>CP1004</t>
  </si>
  <si>
    <t>PCB-167</t>
  </si>
  <si>
    <t>52663-72-6</t>
  </si>
  <si>
    <t>CP1005</t>
  </si>
  <si>
    <t>CP1006</t>
  </si>
  <si>
    <t>PCB-189</t>
  </si>
  <si>
    <t>39635-31-9</t>
  </si>
  <si>
    <t>CP1007</t>
  </si>
  <si>
    <t>PCB-196</t>
  </si>
  <si>
    <t>42740-50-1</t>
  </si>
  <si>
    <t>CP1008</t>
  </si>
  <si>
    <t>PCB-203</t>
  </si>
  <si>
    <t>52663-76-0</t>
  </si>
  <si>
    <t>CP1009</t>
  </si>
  <si>
    <t>CP1010</t>
  </si>
  <si>
    <t>29082-74-4</t>
  </si>
  <si>
    <t>CP1011</t>
  </si>
  <si>
    <t>CP1012</t>
  </si>
  <si>
    <t>27304-13-8</t>
  </si>
  <si>
    <t>CP1013</t>
  </si>
  <si>
    <t>2,3,4,6-Tetrachlorophenol</t>
  </si>
  <si>
    <t>58-90-2</t>
  </si>
  <si>
    <t>CP1014</t>
  </si>
  <si>
    <t>2,3,4,6-tetrabromophenol</t>
  </si>
  <si>
    <t>14400-94-3</t>
  </si>
  <si>
    <t>CP1015</t>
  </si>
  <si>
    <t>pentabromophenol</t>
  </si>
  <si>
    <t>608-71-9</t>
  </si>
  <si>
    <t>CP1016</t>
  </si>
  <si>
    <t>CP1017</t>
  </si>
  <si>
    <t>PCB-17</t>
  </si>
  <si>
    <t>37680-66-3</t>
  </si>
  <si>
    <t>CP1018</t>
  </si>
  <si>
    <t>PCB-18</t>
  </si>
  <si>
    <t>CP1019</t>
  </si>
  <si>
    <t>PCB-28</t>
  </si>
  <si>
    <t>7012-37-5</t>
  </si>
  <si>
    <t>CP1020</t>
  </si>
  <si>
    <t>PCB-31</t>
  </si>
  <si>
    <t>16606-02-3</t>
  </si>
  <si>
    <t>CP1021</t>
  </si>
  <si>
    <t>PCB-33</t>
  </si>
  <si>
    <t>38444-86-9</t>
  </si>
  <si>
    <t>CP1022</t>
  </si>
  <si>
    <t>PCB-44</t>
  </si>
  <si>
    <t>41464-39-5</t>
  </si>
  <si>
    <t>CP1023</t>
  </si>
  <si>
    <t>PCB-49</t>
  </si>
  <si>
    <t>41464-40-8</t>
  </si>
  <si>
    <t>CP1024</t>
  </si>
  <si>
    <t>PCB-52</t>
  </si>
  <si>
    <t>35693-99-3</t>
  </si>
  <si>
    <t>CP1025</t>
  </si>
  <si>
    <t>CP1026</t>
  </si>
  <si>
    <t>PCB-74</t>
  </si>
  <si>
    <t>32690-93-0</t>
  </si>
  <si>
    <t>CP1027</t>
  </si>
  <si>
    <t>PCB-82</t>
  </si>
  <si>
    <t>52663-62-4</t>
  </si>
  <si>
    <t>CP1028</t>
  </si>
  <si>
    <t>PCB-87</t>
  </si>
  <si>
    <t>38380-02-8</t>
  </si>
  <si>
    <t>CP1029</t>
  </si>
  <si>
    <t>PCB-95</t>
  </si>
  <si>
    <t>38379-99-6</t>
  </si>
  <si>
    <t>CP1030</t>
  </si>
  <si>
    <t>PCB-99</t>
  </si>
  <si>
    <t>38380-01-7</t>
  </si>
  <si>
    <t>CP1031</t>
  </si>
  <si>
    <t>PCB-101</t>
  </si>
  <si>
    <t>37680-73-2</t>
  </si>
  <si>
    <t>CP1032</t>
  </si>
  <si>
    <t>CP1033</t>
  </si>
  <si>
    <t>PCB-110</t>
  </si>
  <si>
    <t>38380-03-9</t>
  </si>
  <si>
    <t>CP1034</t>
  </si>
  <si>
    <t>PCB-118</t>
  </si>
  <si>
    <t>CP1035</t>
  </si>
  <si>
    <t>PCB-128</t>
  </si>
  <si>
    <t>38380-07-3</t>
  </si>
  <si>
    <t>CP1036</t>
  </si>
  <si>
    <t>CP1037</t>
  </si>
  <si>
    <t>CP1038</t>
  </si>
  <si>
    <t>PCB-149</t>
  </si>
  <si>
    <t>38380-04-0</t>
  </si>
  <si>
    <t>CP1039</t>
  </si>
  <si>
    <t>PCB-151</t>
  </si>
  <si>
    <t>52663-63-5</t>
  </si>
  <si>
    <t>CP1040</t>
  </si>
  <si>
    <t>CP1041</t>
  </si>
  <si>
    <t>PCB-156</t>
  </si>
  <si>
    <t>38380-08-4</t>
  </si>
  <si>
    <t>CP1042</t>
  </si>
  <si>
    <t>PCB-158</t>
  </si>
  <si>
    <t>74472-42-7</t>
  </si>
  <si>
    <t>CP1043</t>
  </si>
  <si>
    <t>PCB-169</t>
  </si>
  <si>
    <t>32774-16-6</t>
  </si>
  <si>
    <t>CP1044</t>
  </si>
  <si>
    <t>PCB-170</t>
  </si>
  <si>
    <t>35065-30-6</t>
  </si>
  <si>
    <t>CP1045</t>
  </si>
  <si>
    <t>PCB-171</t>
  </si>
  <si>
    <t>52663-71-5</t>
  </si>
  <si>
    <t>CP1046</t>
  </si>
  <si>
    <t>PCB-177</t>
  </si>
  <si>
    <t>52663-70-4</t>
  </si>
  <si>
    <t>CP1047</t>
  </si>
  <si>
    <t>CP1048</t>
  </si>
  <si>
    <t>PCB-183</t>
  </si>
  <si>
    <t>52663-69-1</t>
  </si>
  <si>
    <t>CP1049</t>
  </si>
  <si>
    <t>CP1050</t>
  </si>
  <si>
    <t>CP1051</t>
  </si>
  <si>
    <t>PCB-194</t>
  </si>
  <si>
    <t>35694-08-7</t>
  </si>
  <si>
    <t>CP1052</t>
  </si>
  <si>
    <t>PCB-195</t>
  </si>
  <si>
    <t>52663-78-2</t>
  </si>
  <si>
    <t>CP1053</t>
  </si>
  <si>
    <t>PCB-199</t>
  </si>
  <si>
    <t>52663-75-9</t>
  </si>
  <si>
    <t>CP1054</t>
  </si>
  <si>
    <t>PCB-205</t>
  </si>
  <si>
    <t>74472-53-0</t>
  </si>
  <si>
    <t>CP1055</t>
  </si>
  <si>
    <t>PCB-206</t>
  </si>
  <si>
    <t>40186-72-9</t>
  </si>
  <si>
    <t>CP1056</t>
  </si>
  <si>
    <t>PCB-208</t>
  </si>
  <si>
    <t>52663-77-1</t>
  </si>
  <si>
    <t>CP1057</t>
  </si>
  <si>
    <t>PCB-209</t>
  </si>
  <si>
    <t>2051-24-3</t>
  </si>
  <si>
    <t>CP1058</t>
  </si>
  <si>
    <t>BDE-17</t>
  </si>
  <si>
    <t>147217-75-2</t>
  </si>
  <si>
    <t>CP1059</t>
  </si>
  <si>
    <t>BDE-28, BDE-33</t>
  </si>
  <si>
    <t>41318-75-6</t>
  </si>
  <si>
    <t>CP1060</t>
  </si>
  <si>
    <t>CP1061</t>
  </si>
  <si>
    <t>BDE-66</t>
  </si>
  <si>
    <t>CP1062</t>
  </si>
  <si>
    <t>BDE-71</t>
  </si>
  <si>
    <t>189084-62-6</t>
  </si>
  <si>
    <t>CP1063</t>
  </si>
  <si>
    <t>BDE-99</t>
  </si>
  <si>
    <t>60348-60-9</t>
  </si>
  <si>
    <t>CP1064</t>
  </si>
  <si>
    <t>BDE-100</t>
  </si>
  <si>
    <t>CP1065</t>
  </si>
  <si>
    <t>BDE-138</t>
  </si>
  <si>
    <t>182677-30-1</t>
  </si>
  <si>
    <t>CP1066</t>
  </si>
  <si>
    <t>BDE-153</t>
  </si>
  <si>
    <t>68631-49-2</t>
  </si>
  <si>
    <t>CP1067</t>
  </si>
  <si>
    <t>BDE-154</t>
  </si>
  <si>
    <t>207122-15-4</t>
  </si>
  <si>
    <t>CP1068</t>
  </si>
  <si>
    <t>BDE-183</t>
  </si>
  <si>
    <t>207122-16-5</t>
  </si>
  <si>
    <t>CP1069</t>
  </si>
  <si>
    <t>BDE-209</t>
  </si>
  <si>
    <t>1163-19-5</t>
  </si>
  <si>
    <t>CP1070</t>
  </si>
  <si>
    <t>CP1071</t>
  </si>
  <si>
    <t>Aldrin</t>
  </si>
  <si>
    <t>309-00-2</t>
  </si>
  <si>
    <t>CP1072</t>
  </si>
  <si>
    <t>a-BHC</t>
  </si>
  <si>
    <t>CP1073</t>
  </si>
  <si>
    <t>CP1074</t>
  </si>
  <si>
    <t>CP1075</t>
  </si>
  <si>
    <t>319-86-8</t>
  </si>
  <si>
    <t>CP1076</t>
  </si>
  <si>
    <t>5103-71-9</t>
  </si>
  <si>
    <t>CP1077</t>
  </si>
  <si>
    <t>5103-74-2</t>
  </si>
  <si>
    <t>CP1078</t>
  </si>
  <si>
    <t>4,4'-DDD</t>
  </si>
  <si>
    <t>CP1079</t>
  </si>
  <si>
    <t>CP1080</t>
  </si>
  <si>
    <t>CP1081</t>
  </si>
  <si>
    <t>Dieldrin</t>
  </si>
  <si>
    <t>60-57-1</t>
  </si>
  <si>
    <t>CP1082</t>
  </si>
  <si>
    <t>CP1084</t>
  </si>
  <si>
    <t>Endosulfan sulfate</t>
  </si>
  <si>
    <t>1031-07-8</t>
  </si>
  <si>
    <t>CP1085</t>
  </si>
  <si>
    <t>Endrin</t>
  </si>
  <si>
    <t>72-20-8</t>
  </si>
  <si>
    <t>CP1086</t>
  </si>
  <si>
    <t>Endrin aldehyde</t>
  </si>
  <si>
    <t>7421-93-4</t>
  </si>
  <si>
    <t>CP1087</t>
  </si>
  <si>
    <t>Endrin ketone</t>
  </si>
  <si>
    <t>53494-70-5</t>
  </si>
  <si>
    <t>CP1088</t>
  </si>
  <si>
    <t>Heptachlor</t>
  </si>
  <si>
    <t>76-44-8</t>
  </si>
  <si>
    <t>CP1089</t>
  </si>
  <si>
    <t>Heptachlor epoxide (Isomer B)</t>
  </si>
  <si>
    <t>1024-57-3</t>
  </si>
  <si>
    <t>CP1090</t>
  </si>
  <si>
    <t>Methoxychlor</t>
  </si>
  <si>
    <t>CP1091</t>
  </si>
  <si>
    <t>cis-Nonachlor</t>
  </si>
  <si>
    <t>CP1092</t>
  </si>
  <si>
    <t>trans-Nonachlor</t>
  </si>
  <si>
    <t>39765-80-5</t>
  </si>
  <si>
    <t>CP1093</t>
  </si>
  <si>
    <t>BDE-85</t>
  </si>
  <si>
    <t>182346-21-0</t>
  </si>
  <si>
    <t>CP1094</t>
  </si>
  <si>
    <t>BDE-206</t>
  </si>
  <si>
    <t>63387-28-0</t>
  </si>
  <si>
    <t>CP1095</t>
  </si>
  <si>
    <t>Mirex</t>
  </si>
  <si>
    <t>2385-85-5</t>
  </si>
  <si>
    <t>CP1096</t>
  </si>
  <si>
    <t>o,p'-DDD</t>
  </si>
  <si>
    <t>CP1097</t>
  </si>
  <si>
    <t>3424-82-6</t>
  </si>
  <si>
    <t>CP1098</t>
  </si>
  <si>
    <t>CP1099</t>
  </si>
  <si>
    <t>TCDD</t>
  </si>
  <si>
    <t>1746-01-6</t>
  </si>
  <si>
    <t>CP1100</t>
  </si>
  <si>
    <t>TCDF</t>
  </si>
  <si>
    <t>51207-31-9</t>
  </si>
  <si>
    <t>CP1101</t>
  </si>
  <si>
    <t>1,2,3,7,8-PeCDD</t>
  </si>
  <si>
    <t>40321-76-4</t>
  </si>
  <si>
    <t>CP1102</t>
  </si>
  <si>
    <t>CP1103</t>
  </si>
  <si>
    <t>57117-31-4</t>
  </si>
  <si>
    <t>CP1104</t>
  </si>
  <si>
    <t>1,2,3,4,7,8-HxCDD</t>
  </si>
  <si>
    <t>39227-28-6</t>
  </si>
  <si>
    <t>CP1105</t>
  </si>
  <si>
    <t>57653-85-7</t>
  </si>
  <si>
    <t>CP1106</t>
  </si>
  <si>
    <t>1,2,3,7,8,9-HxCDD</t>
  </si>
  <si>
    <t>19408-74-3</t>
  </si>
  <si>
    <t>CP1107</t>
  </si>
  <si>
    <t>1,2,3,4,7,8-Hexachlorodibenzofuran</t>
  </si>
  <si>
    <t>55684-94-1</t>
  </si>
  <si>
    <t>CP1108</t>
  </si>
  <si>
    <t>1,2,3,6,7,8-HxCDF</t>
  </si>
  <si>
    <t>57117-44-9</t>
  </si>
  <si>
    <t>CP1109</t>
  </si>
  <si>
    <t>1,2,3,7,8,9-HxCDF</t>
  </si>
  <si>
    <t>72918-21-9</t>
  </si>
  <si>
    <t>CP1110</t>
  </si>
  <si>
    <t>2,3,4,6,7,8-HxCDF</t>
  </si>
  <si>
    <t>60851-34-5</t>
  </si>
  <si>
    <t>CP1111</t>
  </si>
  <si>
    <t>1,2,3,4,6,7,8-HpCDD</t>
  </si>
  <si>
    <t>35822-46-9</t>
  </si>
  <si>
    <t>CP1112</t>
  </si>
  <si>
    <t>1,2,3,4,6,7,8-HpCDF</t>
  </si>
  <si>
    <t>38998-75-3</t>
  </si>
  <si>
    <t>CP1113</t>
  </si>
  <si>
    <t>1,2,3,4,7,8,9-HpCDF</t>
  </si>
  <si>
    <t>55673-89-7</t>
  </si>
  <si>
    <t>CP1114</t>
  </si>
  <si>
    <t>1,2,3,4,6,8,9-HpCDF</t>
  </si>
  <si>
    <t>69698-58-4</t>
  </si>
  <si>
    <t>CP1115</t>
  </si>
  <si>
    <t>CP1116</t>
  </si>
  <si>
    <t>OCDF</t>
  </si>
  <si>
    <t>CP1117</t>
  </si>
  <si>
    <t>PBB-153</t>
  </si>
  <si>
    <t>59080-40-9</t>
  </si>
  <si>
    <t>CP1118</t>
  </si>
  <si>
    <t>CP1119</t>
  </si>
  <si>
    <t>66860-80-8</t>
  </si>
  <si>
    <t>CP1120</t>
  </si>
  <si>
    <t>CP1121</t>
  </si>
  <si>
    <t>CP1122</t>
  </si>
  <si>
    <t>PFNA</t>
  </si>
  <si>
    <t>CP2002</t>
  </si>
  <si>
    <t>Azinphos ethyl</t>
  </si>
  <si>
    <t>CP2003</t>
  </si>
  <si>
    <t>Azinphos methyl</t>
  </si>
  <si>
    <t>86-50-0</t>
  </si>
  <si>
    <t>CP2004</t>
  </si>
  <si>
    <t>CP2005</t>
  </si>
  <si>
    <t>Chlorpyrifos methyl</t>
  </si>
  <si>
    <t>5598-13-0</t>
  </si>
  <si>
    <t>CP2006</t>
  </si>
  <si>
    <t>Diazinon</t>
  </si>
  <si>
    <t>CP2007</t>
  </si>
  <si>
    <t>EPN</t>
  </si>
  <si>
    <t>2104-64-5</t>
  </si>
  <si>
    <t>CP2008</t>
  </si>
  <si>
    <t>Fenitrothion</t>
  </si>
  <si>
    <t>122-14-5</t>
  </si>
  <si>
    <t>CP2009</t>
  </si>
  <si>
    <t>Isazophos</t>
  </si>
  <si>
    <t>42509-80-8</t>
  </si>
  <si>
    <t>CP2010</t>
  </si>
  <si>
    <t>Phosalone</t>
  </si>
  <si>
    <t>2310-17-0</t>
  </si>
  <si>
    <t>CP2011</t>
  </si>
  <si>
    <t>Phosmet</t>
  </si>
  <si>
    <t>CP2012</t>
  </si>
  <si>
    <t>Pirimiphos ethyl</t>
  </si>
  <si>
    <t>CP2013</t>
  </si>
  <si>
    <t>Pirimiphos methyl</t>
  </si>
  <si>
    <t>CP2014</t>
  </si>
  <si>
    <t>Pyraclofos</t>
  </si>
  <si>
    <t>CP2015</t>
  </si>
  <si>
    <t>Pyrazophos</t>
  </si>
  <si>
    <t>CP2016</t>
  </si>
  <si>
    <t>CP2017</t>
  </si>
  <si>
    <t>CP2018</t>
  </si>
  <si>
    <t>CP2019</t>
  </si>
  <si>
    <t>CP2020</t>
  </si>
  <si>
    <t>CP2021</t>
  </si>
  <si>
    <t>CP2022</t>
  </si>
  <si>
    <t>CP2023</t>
  </si>
  <si>
    <t>Chlorbenside</t>
  </si>
  <si>
    <t>103-17-3</t>
  </si>
  <si>
    <t>CP2024</t>
  </si>
  <si>
    <t>cis-Chlordane</t>
  </si>
  <si>
    <t>CP2025</t>
  </si>
  <si>
    <t>trans-Chlordane</t>
  </si>
  <si>
    <t>CP2026</t>
  </si>
  <si>
    <t>CP2027</t>
  </si>
  <si>
    <t>Chloroneb</t>
  </si>
  <si>
    <t>2675-77-6</t>
  </si>
  <si>
    <t>CP2028</t>
  </si>
  <si>
    <t>CP2029</t>
  </si>
  <si>
    <t>CP2030</t>
  </si>
  <si>
    <t>2,4'-DDE</t>
  </si>
  <si>
    <t>CP2031</t>
  </si>
  <si>
    <t>CP2032</t>
  </si>
  <si>
    <t>CP2033</t>
  </si>
  <si>
    <t>CP2034</t>
  </si>
  <si>
    <t>4,4'-Dichlorobenzophenone</t>
  </si>
  <si>
    <t>90-98-2</t>
  </si>
  <si>
    <t>CP2035</t>
  </si>
  <si>
    <t>CP2036</t>
  </si>
  <si>
    <t>CP2037</t>
  </si>
  <si>
    <t>Endosulfan II</t>
  </si>
  <si>
    <t>33213-65-9</t>
  </si>
  <si>
    <t>CP2038</t>
  </si>
  <si>
    <t>Endosulfan ether</t>
  </si>
  <si>
    <t>3369-52-6</t>
  </si>
  <si>
    <t>CP2039</t>
  </si>
  <si>
    <t>CP2040</t>
  </si>
  <si>
    <t>CP2041</t>
  </si>
  <si>
    <t>CP2042</t>
  </si>
  <si>
    <t>CP2043</t>
  </si>
  <si>
    <t>CP2044</t>
  </si>
  <si>
    <t>Fenson</t>
  </si>
  <si>
    <t>80-38-6</t>
  </si>
  <si>
    <t>CP2045</t>
  </si>
  <si>
    <t>CP2046</t>
  </si>
  <si>
    <t>CP2047</t>
  </si>
  <si>
    <t>CP2048</t>
  </si>
  <si>
    <t>Isodrin</t>
  </si>
  <si>
    <t>465-73-6</t>
  </si>
  <si>
    <t>CP2049</t>
  </si>
  <si>
    <t>CP2050</t>
  </si>
  <si>
    <t>4,4'-Methoxychlor olefin</t>
  </si>
  <si>
    <t>CP2051</t>
  </si>
  <si>
    <t>CP2052</t>
  </si>
  <si>
    <t>CP2053</t>
  </si>
  <si>
    <t>CP2054</t>
  </si>
  <si>
    <t>Pentachloroanisole</t>
  </si>
  <si>
    <t>CP2055</t>
  </si>
  <si>
    <t>Pentachlorothioanisole</t>
  </si>
  <si>
    <t>1825-19-0</t>
  </si>
  <si>
    <t>CP2056</t>
  </si>
  <si>
    <t>Tetradifon</t>
  </si>
  <si>
    <t>116-29-0</t>
  </si>
  <si>
    <t>CP2057</t>
  </si>
  <si>
    <t>Chlorothalonil</t>
  </si>
  <si>
    <t>1897-45-6</t>
  </si>
  <si>
    <t>CP2058</t>
  </si>
  <si>
    <t>CP2059</t>
  </si>
  <si>
    <t>Dichloran</t>
  </si>
  <si>
    <t>99-30-9</t>
  </si>
  <si>
    <t>CP2060</t>
  </si>
  <si>
    <t>CP2061</t>
  </si>
  <si>
    <t>Dichlobenil</t>
  </si>
  <si>
    <t>1194-65-6</t>
  </si>
  <si>
    <t>CP2062</t>
  </si>
  <si>
    <t>CP2063</t>
  </si>
  <si>
    <t>Ethalfluralin</t>
  </si>
  <si>
    <t>55283-68-6</t>
  </si>
  <si>
    <t>CP2064</t>
  </si>
  <si>
    <t>Fluchloralin</t>
  </si>
  <si>
    <t>33245-39-5</t>
  </si>
  <si>
    <t>CP2065</t>
  </si>
  <si>
    <t>Isopropalin</t>
  </si>
  <si>
    <t>33820-53-0</t>
  </si>
  <si>
    <t>CP2066</t>
  </si>
  <si>
    <t>Nitralin</t>
  </si>
  <si>
    <t>CP2067</t>
  </si>
  <si>
    <t>2,4-Dichlorophenyl 4-nitrophenyl ether</t>
  </si>
  <si>
    <t>1836-75-5</t>
  </si>
  <si>
    <t>CP2068</t>
  </si>
  <si>
    <t>Oxyfluorfen</t>
  </si>
  <si>
    <t>42874-03-3</t>
  </si>
  <si>
    <t>CP2069</t>
  </si>
  <si>
    <t>Pendimethalin</t>
  </si>
  <si>
    <t>CP2070</t>
  </si>
  <si>
    <t>Pentachloroaniline</t>
  </si>
  <si>
    <t>527-20-8</t>
  </si>
  <si>
    <t>CP2071</t>
  </si>
  <si>
    <t>Pentachlorobenzonitrile</t>
  </si>
  <si>
    <t>20925-85-3</t>
  </si>
  <si>
    <t>CP2072</t>
  </si>
  <si>
    <t>Prodiamine</t>
  </si>
  <si>
    <t>29091-21-2</t>
  </si>
  <si>
    <t>CP2073</t>
  </si>
  <si>
    <t>Profluralin</t>
  </si>
  <si>
    <t>26399-36-0</t>
  </si>
  <si>
    <t>CP2074</t>
  </si>
  <si>
    <t>2,3,5,6-Tetrachloroaniline</t>
  </si>
  <si>
    <t>3481-20-7</t>
  </si>
  <si>
    <t>CP2074_2</t>
  </si>
  <si>
    <t>CP2075</t>
  </si>
  <si>
    <t>CP2076</t>
  </si>
  <si>
    <t>CP2077</t>
  </si>
  <si>
    <t>Trifluralin</t>
  </si>
  <si>
    <t>1582-09-8</t>
  </si>
  <si>
    <t>CP2078</t>
  </si>
  <si>
    <t>CP2079</t>
  </si>
  <si>
    <t>CP2080</t>
  </si>
  <si>
    <t>Allidochlor</t>
  </si>
  <si>
    <t>CP2081</t>
  </si>
  <si>
    <t>Clomazone (Command)</t>
  </si>
  <si>
    <t>CP2082</t>
  </si>
  <si>
    <t>Cycloate</t>
  </si>
  <si>
    <t>CP2083</t>
  </si>
  <si>
    <t>CP2084</t>
  </si>
  <si>
    <t>CP2085</t>
  </si>
  <si>
    <t>Dimethachlor</t>
  </si>
  <si>
    <t>CP2086</t>
  </si>
  <si>
    <t>CP2087</t>
  </si>
  <si>
    <t>Fenpropathrin</t>
  </si>
  <si>
    <t>CP2088</t>
  </si>
  <si>
    <t>CP2089</t>
  </si>
  <si>
    <t>Flutolanil</t>
  </si>
  <si>
    <t>66332-96-5</t>
  </si>
  <si>
    <t>CP2090</t>
  </si>
  <si>
    <t>Linuron</t>
  </si>
  <si>
    <t>CP2090_2</t>
  </si>
  <si>
    <t>CP2090_3</t>
  </si>
  <si>
    <t>CP2090_4</t>
  </si>
  <si>
    <t>CP2091</t>
  </si>
  <si>
    <t>Metazachlor</t>
  </si>
  <si>
    <t>67129-08-2</t>
  </si>
  <si>
    <t>CP2091_2</t>
  </si>
  <si>
    <t>CP2092</t>
  </si>
  <si>
    <t>CP2093</t>
  </si>
  <si>
    <t>Metolachlor</t>
  </si>
  <si>
    <t>CP2094</t>
  </si>
  <si>
    <t>N-(2,4-Dimethylphenyl)formamide</t>
  </si>
  <si>
    <t>CP2095</t>
  </si>
  <si>
    <t>Norflurazon</t>
  </si>
  <si>
    <t>27314-13-2</t>
  </si>
  <si>
    <t>CP2096</t>
  </si>
  <si>
    <t>Oxadiazon</t>
  </si>
  <si>
    <t>CP2097</t>
  </si>
  <si>
    <t>CP2098</t>
  </si>
  <si>
    <t>CP2099</t>
  </si>
  <si>
    <t>Prochloraz</t>
  </si>
  <si>
    <t>CP2100</t>
  </si>
  <si>
    <t>Propachlor</t>
  </si>
  <si>
    <t>CP2101</t>
  </si>
  <si>
    <t>Propanil</t>
  </si>
  <si>
    <t>709-98-8</t>
  </si>
  <si>
    <t>CP2102</t>
  </si>
  <si>
    <t>CP2103</t>
  </si>
  <si>
    <t>Pyridaben</t>
  </si>
  <si>
    <t>96489-71-3</t>
  </si>
  <si>
    <t>CP2104</t>
  </si>
  <si>
    <t>Tebufenpyrad</t>
  </si>
  <si>
    <t>119168-77-3</t>
  </si>
  <si>
    <t>CP2105</t>
  </si>
  <si>
    <t>Triallate</t>
  </si>
  <si>
    <t>CP2106</t>
  </si>
  <si>
    <t>Atrazine</t>
  </si>
  <si>
    <t>CP2107</t>
  </si>
  <si>
    <t>Bupirimate</t>
  </si>
  <si>
    <t>CP2108</t>
  </si>
  <si>
    <t>Captafol</t>
  </si>
  <si>
    <t>CP2109</t>
  </si>
  <si>
    <t>CP2110</t>
  </si>
  <si>
    <t>Chlorfenapyr</t>
  </si>
  <si>
    <t>CP2111</t>
  </si>
  <si>
    <t>Cyprodinil</t>
  </si>
  <si>
    <t>CP2112</t>
  </si>
  <si>
    <t>Etofenprox</t>
  </si>
  <si>
    <t>CP2113</t>
  </si>
  <si>
    <t>Etridiazole</t>
  </si>
  <si>
    <t>2593-15-9</t>
  </si>
  <si>
    <t>CP2114</t>
  </si>
  <si>
    <t>Fenarimol</t>
  </si>
  <si>
    <t>60168-88-9</t>
  </si>
  <si>
    <t>CP2115</t>
  </si>
  <si>
    <t>Fipronil</t>
  </si>
  <si>
    <t>120068-37-3</t>
  </si>
  <si>
    <t>CP2116</t>
  </si>
  <si>
    <t>Fludioxonil</t>
  </si>
  <si>
    <t>CP2117</t>
  </si>
  <si>
    <t>CP2118</t>
  </si>
  <si>
    <t>Flusilazole</t>
  </si>
  <si>
    <t>85509-19-9</t>
  </si>
  <si>
    <t>CP2119</t>
  </si>
  <si>
    <t>CP2120</t>
  </si>
  <si>
    <t>Folpet</t>
  </si>
  <si>
    <t>CP2121</t>
  </si>
  <si>
    <t>Iprodione</t>
  </si>
  <si>
    <t>36734-19-7</t>
  </si>
  <si>
    <t>CP2122</t>
  </si>
  <si>
    <t>Lenacil</t>
  </si>
  <si>
    <t>CP2123</t>
  </si>
  <si>
    <t>MGK-264</t>
  </si>
  <si>
    <t>CP2124</t>
  </si>
  <si>
    <t>Myclobutanil</t>
  </si>
  <si>
    <t>88671-89-0</t>
  </si>
  <si>
    <t>CP2125</t>
  </si>
  <si>
    <t>Paclobutrazol</t>
  </si>
  <si>
    <t>CP2126</t>
  </si>
  <si>
    <t>CP2126_2</t>
  </si>
  <si>
    <t>CP2127</t>
  </si>
  <si>
    <t>Procymidone</t>
  </si>
  <si>
    <t>CP2128</t>
  </si>
  <si>
    <t>Propargite</t>
  </si>
  <si>
    <t>2312-35-8</t>
  </si>
  <si>
    <t>CP2129</t>
  </si>
  <si>
    <t>CP2130</t>
  </si>
  <si>
    <t>Pyriproxyfen</t>
  </si>
  <si>
    <t>95737-68-1</t>
  </si>
  <si>
    <t>CP2131</t>
  </si>
  <si>
    <t>Tebuconazole</t>
  </si>
  <si>
    <t>CP2132</t>
  </si>
  <si>
    <t>CP2133</t>
  </si>
  <si>
    <t>Terbuthylazine</t>
  </si>
  <si>
    <t>CP2134</t>
  </si>
  <si>
    <t>Tricyclazole (Beam)</t>
  </si>
  <si>
    <t>41814-78-2</t>
  </si>
  <si>
    <t>CP2135</t>
  </si>
  <si>
    <t>Triflumizole</t>
  </si>
  <si>
    <t>68694-11-1</t>
  </si>
  <si>
    <t>CP2136</t>
  </si>
  <si>
    <t>Vinclozolin</t>
  </si>
  <si>
    <t>CP2137</t>
  </si>
  <si>
    <t>Acequinocyl</t>
  </si>
  <si>
    <t>57960-19-7</t>
  </si>
  <si>
    <t>CP2138</t>
  </si>
  <si>
    <t>Bromopropylate</t>
  </si>
  <si>
    <t>18181-80-1</t>
  </si>
  <si>
    <t>CP2139</t>
  </si>
  <si>
    <t>Carfentrazone ethyl</t>
  </si>
  <si>
    <t>128639-02-1</t>
  </si>
  <si>
    <t>CP2140</t>
  </si>
  <si>
    <t>Chlorobenzilate</t>
  </si>
  <si>
    <t>510-15-6</t>
  </si>
  <si>
    <t>CP2141</t>
  </si>
  <si>
    <t>Chlorpropham</t>
  </si>
  <si>
    <t>CP2142</t>
  </si>
  <si>
    <t>Chlozolinate</t>
  </si>
  <si>
    <t>84332-86-5</t>
  </si>
  <si>
    <t>CP2143</t>
  </si>
  <si>
    <t>DCPA methyl ester (Chlorthal-dimethyl)</t>
  </si>
  <si>
    <t>1861-32-1</t>
  </si>
  <si>
    <t>CP2144</t>
  </si>
  <si>
    <t>Fluazifop-p-butyl</t>
  </si>
  <si>
    <t>79241-46-6</t>
  </si>
  <si>
    <t>CP2145</t>
  </si>
  <si>
    <t>CP2146</t>
  </si>
  <si>
    <t>2-Phenylphenol</t>
  </si>
  <si>
    <t>CP2146_2</t>
  </si>
  <si>
    <t>CP2147</t>
  </si>
  <si>
    <t>Bromfenvinfos-methyl</t>
  </si>
  <si>
    <t>13104-21-7</t>
  </si>
  <si>
    <t>CP2148</t>
  </si>
  <si>
    <t>CP2149</t>
  </si>
  <si>
    <t>Bromophos ethyl</t>
  </si>
  <si>
    <t>4824-78-6</t>
  </si>
  <si>
    <t>CP2150</t>
  </si>
  <si>
    <t>Bromophos methyl</t>
  </si>
  <si>
    <t>2104-96-3</t>
  </si>
  <si>
    <t>CP2151</t>
  </si>
  <si>
    <t>Carbophenothion</t>
  </si>
  <si>
    <t>786-19-6</t>
  </si>
  <si>
    <t>CP2152</t>
  </si>
  <si>
    <t>Chlorfenvinphos</t>
  </si>
  <si>
    <t>470-90-6</t>
  </si>
  <si>
    <t>CP2153</t>
  </si>
  <si>
    <t>Chlorthiophos</t>
  </si>
  <si>
    <t>CP2154</t>
  </si>
  <si>
    <t>Coumaphos</t>
  </si>
  <si>
    <t>56-72-4</t>
  </si>
  <si>
    <t>CP2155</t>
  </si>
  <si>
    <t>Edifenphos</t>
  </si>
  <si>
    <t>17109-49-8</t>
  </si>
  <si>
    <t>CP2156</t>
  </si>
  <si>
    <t>Ethion</t>
  </si>
  <si>
    <t>563-12-2</t>
  </si>
  <si>
    <t>CP2157</t>
  </si>
  <si>
    <t>Fenamiphos</t>
  </si>
  <si>
    <t>CP2158</t>
  </si>
  <si>
    <t>Fenchlorphos</t>
  </si>
  <si>
    <t>299-84-3</t>
  </si>
  <si>
    <t>CP2159</t>
  </si>
  <si>
    <t>Fenthion</t>
  </si>
  <si>
    <t>CP2160</t>
  </si>
  <si>
    <t>Iodofenphos</t>
  </si>
  <si>
    <t>CP2161</t>
  </si>
  <si>
    <t>Leptophos</t>
  </si>
  <si>
    <t>21609-90-5</t>
  </si>
  <si>
    <t>CP2162</t>
  </si>
  <si>
    <t>Malathion</t>
  </si>
  <si>
    <t>CP2163</t>
  </si>
  <si>
    <t>Methacrifos</t>
  </si>
  <si>
    <t>62610-77-9</t>
  </si>
  <si>
    <t>CP2164</t>
  </si>
  <si>
    <t>Profenofos</t>
  </si>
  <si>
    <t>41198-08-7</t>
  </si>
  <si>
    <t>CP2165</t>
  </si>
  <si>
    <t>Prothiofos</t>
  </si>
  <si>
    <t>34643-46-4</t>
  </si>
  <si>
    <t>CP2166</t>
  </si>
  <si>
    <t>Sulfotepp</t>
  </si>
  <si>
    <t>3689-24-5</t>
  </si>
  <si>
    <t>CP2167</t>
  </si>
  <si>
    <t>Sulprofos</t>
  </si>
  <si>
    <t>CP2168</t>
  </si>
  <si>
    <t>Terbufos</t>
  </si>
  <si>
    <t>13071-79-9</t>
  </si>
  <si>
    <t>CP2169</t>
  </si>
  <si>
    <t>22248-79-9</t>
  </si>
  <si>
    <t>CP2170</t>
  </si>
  <si>
    <t>Tolclofos-methyl</t>
  </si>
  <si>
    <t>57018-04-9</t>
  </si>
  <si>
    <t>CP2170_2</t>
  </si>
  <si>
    <t>CP2171</t>
  </si>
  <si>
    <t>Disulfoton</t>
  </si>
  <si>
    <t>CP2172</t>
  </si>
  <si>
    <t>Fonofos</t>
  </si>
  <si>
    <t>CP2173</t>
  </si>
  <si>
    <t>Methyl parathion</t>
  </si>
  <si>
    <t>CP2174</t>
  </si>
  <si>
    <t>Mevinphos</t>
  </si>
  <si>
    <t>CP2175</t>
  </si>
  <si>
    <t>CP2176</t>
  </si>
  <si>
    <t>Phorate</t>
  </si>
  <si>
    <t>CP2177</t>
  </si>
  <si>
    <t>CP2178</t>
  </si>
  <si>
    <t>Triazophos</t>
  </si>
  <si>
    <t>CP2179</t>
  </si>
  <si>
    <t>CP2180</t>
  </si>
  <si>
    <t>CP2180_2</t>
  </si>
  <si>
    <t>CP2180_3</t>
  </si>
  <si>
    <t>CP2181</t>
  </si>
  <si>
    <t>CP2181_2</t>
  </si>
  <si>
    <t>CP2182</t>
  </si>
  <si>
    <t>bis(2-Chloro-1-methylethyl)ether</t>
  </si>
  <si>
    <t>CP2183</t>
  </si>
  <si>
    <t>CP2184</t>
  </si>
  <si>
    <t>CP2185</t>
  </si>
  <si>
    <t>Dimethyl phthalate</t>
  </si>
  <si>
    <t>CP2186</t>
  </si>
  <si>
    <t>CP2187</t>
  </si>
  <si>
    <t>CP2188</t>
  </si>
  <si>
    <t>CP2189</t>
  </si>
  <si>
    <t>N-Nitrosodi-n-propylamine</t>
  </si>
  <si>
    <t>CP2189_2</t>
  </si>
  <si>
    <t>CP2189_3</t>
  </si>
  <si>
    <t>CP2190</t>
  </si>
  <si>
    <t>N-Nitrosodiphenylamine</t>
  </si>
  <si>
    <t>CP2191</t>
  </si>
  <si>
    <t>CP2192</t>
  </si>
  <si>
    <t>2-Chloronaphthalene</t>
  </si>
  <si>
    <t>CP2192_2</t>
  </si>
  <si>
    <t>CP2192_3</t>
  </si>
  <si>
    <t>CP2193</t>
  </si>
  <si>
    <t>1,2-Dichlorobenzene</t>
  </si>
  <si>
    <t>95-50-1</t>
  </si>
  <si>
    <t>CP2194</t>
  </si>
  <si>
    <t>CP2195</t>
  </si>
  <si>
    <t>1,4-Dichlorobenzene</t>
  </si>
  <si>
    <t>106-46-7</t>
  </si>
  <si>
    <t>CP2196</t>
  </si>
  <si>
    <t>CP2197</t>
  </si>
  <si>
    <t>2,6-Dinitrotoluene</t>
  </si>
  <si>
    <t>CP2198</t>
  </si>
  <si>
    <t>Hexachlorobutadiene</t>
  </si>
  <si>
    <t>87-68-3</t>
  </si>
  <si>
    <t>CP2199</t>
  </si>
  <si>
    <t>Hexachlorocyclopentadiene</t>
  </si>
  <si>
    <t>77-47-4</t>
  </si>
  <si>
    <t>CP2199_2</t>
  </si>
  <si>
    <t>CP2199_3</t>
  </si>
  <si>
    <t>CP2200</t>
  </si>
  <si>
    <t>Isophorone</t>
  </si>
  <si>
    <t>CP2201</t>
  </si>
  <si>
    <t>CP2202</t>
  </si>
  <si>
    <t>1,2,4-Trichlorobenzene</t>
  </si>
  <si>
    <t>120-82-1</t>
  </si>
  <si>
    <t>CP2203</t>
  </si>
  <si>
    <t>CP2204</t>
  </si>
  <si>
    <t>CP2205</t>
  </si>
  <si>
    <t>CP2206</t>
  </si>
  <si>
    <t>25167-82-2</t>
  </si>
  <si>
    <t>CP2207</t>
  </si>
  <si>
    <t>Aniline</t>
  </si>
  <si>
    <t>CP2208</t>
  </si>
  <si>
    <t>Benzyl alcohol</t>
  </si>
  <si>
    <t>CP2209</t>
  </si>
  <si>
    <t>CP2210</t>
  </si>
  <si>
    <t>CP2210_2</t>
  </si>
  <si>
    <t>CP2210_3</t>
  </si>
  <si>
    <t>CP2211</t>
  </si>
  <si>
    <t>CP2211_2</t>
  </si>
  <si>
    <t>CP2212</t>
  </si>
  <si>
    <t>CP2213</t>
  </si>
  <si>
    <t>3-Nitroaniline</t>
  </si>
  <si>
    <t>CP2214</t>
  </si>
  <si>
    <t>4-Nitroaniline</t>
  </si>
  <si>
    <t>CP2215</t>
  </si>
  <si>
    <t>CP2216</t>
  </si>
  <si>
    <t>3,3'-Dichlorobenzidine</t>
  </si>
  <si>
    <t>91-94-1</t>
  </si>
  <si>
    <t>CP2217</t>
  </si>
  <si>
    <t>CP2217_2</t>
  </si>
  <si>
    <t>CP2218</t>
  </si>
  <si>
    <t>CP2218_2</t>
  </si>
  <si>
    <t>CP2218_3</t>
  </si>
  <si>
    <t>CP2219</t>
  </si>
  <si>
    <t>CP2220</t>
  </si>
  <si>
    <t>CP2221</t>
  </si>
  <si>
    <t>CP2222</t>
  </si>
  <si>
    <t>CP2223</t>
  </si>
  <si>
    <t>CP2224</t>
  </si>
  <si>
    <t>CP2225</t>
  </si>
  <si>
    <t>CP2226</t>
  </si>
  <si>
    <t>CP2227</t>
  </si>
  <si>
    <t>CP2228</t>
  </si>
  <si>
    <t>Fluorene</t>
  </si>
  <si>
    <t>CP2229</t>
  </si>
  <si>
    <t>CP2230</t>
  </si>
  <si>
    <t>CP2231</t>
  </si>
  <si>
    <t>CP2232</t>
  </si>
  <si>
    <t>CP2233</t>
  </si>
  <si>
    <t>CP2233_2</t>
  </si>
  <si>
    <t>CP2234</t>
  </si>
  <si>
    <t>CP2235</t>
  </si>
  <si>
    <t>2-Chlorophenol</t>
  </si>
  <si>
    <t>95-57-8</t>
  </si>
  <si>
    <t>CP2236</t>
  </si>
  <si>
    <t>CP2237</t>
  </si>
  <si>
    <t>CP2238</t>
  </si>
  <si>
    <t>CP2239</t>
  </si>
  <si>
    <t>CP2240</t>
  </si>
  <si>
    <t>CP2241</t>
  </si>
  <si>
    <t>CP2242</t>
  </si>
  <si>
    <t>Pentachlorophenol</t>
  </si>
  <si>
    <t>CP2243</t>
  </si>
  <si>
    <t>Phenol</t>
  </si>
  <si>
    <t>CP2250</t>
  </si>
  <si>
    <t>CP2251</t>
  </si>
  <si>
    <t>CP2251_2</t>
  </si>
  <si>
    <t>CP2251_3</t>
  </si>
  <si>
    <t>CP2252</t>
  </si>
  <si>
    <t>CP2253</t>
  </si>
  <si>
    <t>CP2254</t>
  </si>
  <si>
    <t>CP2255</t>
  </si>
  <si>
    <t>CP2256</t>
  </si>
  <si>
    <t>CP2257</t>
  </si>
  <si>
    <t>CP2258</t>
  </si>
  <si>
    <t>CP2259</t>
  </si>
  <si>
    <t>CP2260</t>
  </si>
  <si>
    <t>CP2261</t>
  </si>
  <si>
    <t>CP2262</t>
  </si>
  <si>
    <t>CP2263</t>
  </si>
  <si>
    <t>Nonylphenol monoethoxylate</t>
  </si>
  <si>
    <t>CP2264</t>
  </si>
  <si>
    <t>CP2265</t>
  </si>
  <si>
    <t>CP2266</t>
  </si>
  <si>
    <t>Chloramben</t>
  </si>
  <si>
    <t>133-90-4</t>
  </si>
  <si>
    <t>CP2267</t>
  </si>
  <si>
    <t>94-75-7</t>
  </si>
  <si>
    <t>CP2268</t>
  </si>
  <si>
    <t>Dicamba</t>
  </si>
  <si>
    <t>CP2269</t>
  </si>
  <si>
    <t>Dichlorprop Acid</t>
  </si>
  <si>
    <t>120-36-5</t>
  </si>
  <si>
    <t>CP2270</t>
  </si>
  <si>
    <t>Picloram</t>
  </si>
  <si>
    <t>CP2271</t>
  </si>
  <si>
    <t>Bentazon</t>
  </si>
  <si>
    <t>CP2271_2</t>
  </si>
  <si>
    <t>CP2272</t>
  </si>
  <si>
    <t>CP2273</t>
  </si>
  <si>
    <t>Acifluorfen</t>
  </si>
  <si>
    <t>50594-66-6</t>
  </si>
  <si>
    <t>CP2275</t>
  </si>
  <si>
    <t>3,5-dichlorobenzoic acid</t>
  </si>
  <si>
    <t>51-36-5</t>
  </si>
  <si>
    <t>CP2276</t>
  </si>
  <si>
    <t>MCPA</t>
  </si>
  <si>
    <t>CP2277</t>
  </si>
  <si>
    <t>CP2278</t>
  </si>
  <si>
    <t>Dinoseb</t>
  </si>
  <si>
    <t>CP2279</t>
  </si>
  <si>
    <t>2-(2,4-dichlorophenoxy)butanoic acid</t>
  </si>
  <si>
    <t>94-82-6</t>
  </si>
  <si>
    <t>CP2280</t>
  </si>
  <si>
    <t>2,4,5-trichlorophenoxyacetic acid</t>
  </si>
  <si>
    <t>93-76-5</t>
  </si>
  <si>
    <t>CP2281</t>
  </si>
  <si>
    <t>CP2281_2</t>
  </si>
  <si>
    <t>CP2281_3</t>
  </si>
  <si>
    <t>CP2282</t>
  </si>
  <si>
    <t>CP2283</t>
  </si>
  <si>
    <t>Diethyl phosphate</t>
  </si>
  <si>
    <t>CP2283_2</t>
  </si>
  <si>
    <t>CP2284</t>
  </si>
  <si>
    <t>CP2285</t>
  </si>
  <si>
    <t>CP2286</t>
  </si>
  <si>
    <t>CP2287</t>
  </si>
  <si>
    <t>CP2288</t>
  </si>
  <si>
    <t>78-30-8</t>
  </si>
  <si>
    <t>CP2289</t>
  </si>
  <si>
    <t>29761-21-5</t>
  </si>
  <si>
    <t>CP2290</t>
  </si>
  <si>
    <t>CP2291</t>
  </si>
  <si>
    <t>Diisopropylphenylphosphate</t>
  </si>
  <si>
    <t>51496-03-8</t>
  </si>
  <si>
    <t>CP2292</t>
  </si>
  <si>
    <t>CP2293</t>
  </si>
  <si>
    <t>CP2293_2</t>
  </si>
  <si>
    <t>CP2295</t>
  </si>
  <si>
    <t>CP2296</t>
  </si>
  <si>
    <t>CP2297</t>
  </si>
  <si>
    <t>CP2298</t>
  </si>
  <si>
    <t>5412-25-9</t>
  </si>
  <si>
    <t>CP2299</t>
  </si>
  <si>
    <t>CP2300</t>
  </si>
  <si>
    <t>37853-61-5</t>
  </si>
  <si>
    <t>CP2302</t>
  </si>
  <si>
    <t>CP2303</t>
  </si>
  <si>
    <t>Pentaerythritol tribromide</t>
  </si>
  <si>
    <t>1522-92-5</t>
  </si>
  <si>
    <t>CP2304</t>
  </si>
  <si>
    <t>6145-73-9</t>
  </si>
  <si>
    <t>CP2305</t>
  </si>
  <si>
    <t>3278-89-5</t>
  </si>
  <si>
    <t>CP2306</t>
  </si>
  <si>
    <t>CP2307</t>
  </si>
  <si>
    <t>1,2,5,6-Tetrabromocyclooctane</t>
  </si>
  <si>
    <t>3194-57-8</t>
  </si>
  <si>
    <t>CP2308</t>
  </si>
  <si>
    <t>CP2308_2</t>
  </si>
  <si>
    <t>CP2309</t>
  </si>
  <si>
    <t>13810-83-8</t>
  </si>
  <si>
    <t>CP2310</t>
  </si>
  <si>
    <t>CP2311</t>
  </si>
  <si>
    <t>CP2313</t>
  </si>
  <si>
    <t>CP2314</t>
  </si>
  <si>
    <t>3-Bromostyrene</t>
  </si>
  <si>
    <t>2039-86-3</t>
  </si>
  <si>
    <t>CP2315</t>
  </si>
  <si>
    <t>CP2316</t>
  </si>
  <si>
    <t>4-Methyl-benzylidene camphor</t>
  </si>
  <si>
    <t>36861-47-9</t>
  </si>
  <si>
    <t>CP2317</t>
  </si>
  <si>
    <t>Avobenzone</t>
  </si>
  <si>
    <t>CP2318</t>
  </si>
  <si>
    <t>Tri(Chloropropyl) phosphate (TCPP)</t>
  </si>
  <si>
    <t>CP2319</t>
  </si>
  <si>
    <t>CP2319_2</t>
  </si>
  <si>
    <t>CP2320</t>
  </si>
  <si>
    <t>Tetrachlorobisphenol A</t>
  </si>
  <si>
    <t>79-95-8</t>
  </si>
  <si>
    <t>CP2321</t>
  </si>
  <si>
    <t>CP2322</t>
  </si>
  <si>
    <t>2,3,4,5-Tetrabromobenzoic acid</t>
  </si>
  <si>
    <t>CP2325</t>
  </si>
  <si>
    <t>4-Bromostyrene</t>
  </si>
  <si>
    <t>2039-82-9</t>
  </si>
  <si>
    <t>CP2326</t>
  </si>
  <si>
    <t>CP2327</t>
  </si>
  <si>
    <t>CP2328</t>
  </si>
  <si>
    <t>CP2329</t>
  </si>
  <si>
    <t>CP2330</t>
  </si>
  <si>
    <t>Homosalate</t>
  </si>
  <si>
    <t>CP2331</t>
  </si>
  <si>
    <t>21245-02-3</t>
  </si>
  <si>
    <t>CP2332</t>
  </si>
  <si>
    <t>Occtyl-Methoxycinnamate (OMC)</t>
  </si>
  <si>
    <t>CP2334</t>
  </si>
  <si>
    <t>CP2335</t>
  </si>
  <si>
    <t>CP2336</t>
  </si>
  <si>
    <t>756-80-9</t>
  </si>
  <si>
    <t>CP2337</t>
  </si>
  <si>
    <t>58975-95-4</t>
  </si>
  <si>
    <t>CP2337_2</t>
  </si>
  <si>
    <t>CP2338</t>
  </si>
  <si>
    <t>298-06-6</t>
  </si>
  <si>
    <t>CP2339</t>
  </si>
  <si>
    <t>1190-28-9</t>
  </si>
  <si>
    <t>CP2339_2</t>
  </si>
  <si>
    <t>CP2339_3</t>
  </si>
  <si>
    <t>CP2339_4</t>
  </si>
  <si>
    <t>CP2340</t>
  </si>
  <si>
    <t>Carbofuran phenol</t>
  </si>
  <si>
    <t>CP2341</t>
  </si>
  <si>
    <t>CP2342</t>
  </si>
  <si>
    <t>CP2343</t>
  </si>
  <si>
    <t>CP2344</t>
  </si>
  <si>
    <t>CP2345</t>
  </si>
  <si>
    <t>CP2346</t>
  </si>
  <si>
    <t>66851-46-5</t>
  </si>
  <si>
    <t>CP2347</t>
  </si>
  <si>
    <t>101-20-2</t>
  </si>
  <si>
    <t>CP2348</t>
  </si>
  <si>
    <t>2,5-Dichlorophenol</t>
  </si>
  <si>
    <t>583-78-8</t>
  </si>
  <si>
    <t>CP2349</t>
  </si>
  <si>
    <t>CP2350</t>
  </si>
  <si>
    <t>CP2351</t>
  </si>
  <si>
    <t>CP2352</t>
  </si>
  <si>
    <t>Triclosan</t>
  </si>
  <si>
    <t>CP2353</t>
  </si>
  <si>
    <t>Bisphenol F</t>
  </si>
  <si>
    <t>CP2354</t>
  </si>
  <si>
    <t>Bisphenol S</t>
  </si>
  <si>
    <t>CP2356</t>
  </si>
  <si>
    <t>CP2357</t>
  </si>
  <si>
    <t>Bensulfuron-methyl</t>
  </si>
  <si>
    <t>CP2359</t>
  </si>
  <si>
    <t>Halosulfuron-methyl</t>
  </si>
  <si>
    <t>CP2361</t>
  </si>
  <si>
    <t>CP2362</t>
  </si>
  <si>
    <t>CP2363</t>
  </si>
  <si>
    <t>CP2364</t>
  </si>
  <si>
    <t>primisulfuron-methyl</t>
  </si>
  <si>
    <t>CP2365</t>
  </si>
  <si>
    <t>prosulfuron</t>
  </si>
  <si>
    <t>CP2366</t>
  </si>
  <si>
    <t>CP2367</t>
  </si>
  <si>
    <t>141776-32-1</t>
  </si>
  <si>
    <t>CP2368</t>
  </si>
  <si>
    <t>triasulfuron</t>
  </si>
  <si>
    <t>CP2369</t>
  </si>
  <si>
    <t>triflusulfuron-methyl</t>
  </si>
  <si>
    <t>126535-15-7</t>
  </si>
  <si>
    <t>CP2370</t>
  </si>
  <si>
    <t>CP2371</t>
  </si>
  <si>
    <t>CP2372</t>
  </si>
  <si>
    <t>CP2373</t>
  </si>
  <si>
    <t>CP2376</t>
  </si>
  <si>
    <t>CP2377</t>
  </si>
  <si>
    <t>CP2378</t>
  </si>
  <si>
    <t>CP2379</t>
  </si>
  <si>
    <t>CP2380</t>
  </si>
  <si>
    <t>CP2381</t>
  </si>
  <si>
    <t>CP2382</t>
  </si>
  <si>
    <t>CP2383</t>
  </si>
  <si>
    <t>CP2384</t>
  </si>
  <si>
    <t>CP2385</t>
  </si>
  <si>
    <t>CP2386</t>
  </si>
  <si>
    <t>CP2387</t>
  </si>
  <si>
    <t>71-43-2</t>
  </si>
  <si>
    <t>CP2388</t>
  </si>
  <si>
    <t>Bromobenzene</t>
  </si>
  <si>
    <t>108-86-1</t>
  </si>
  <si>
    <t>CP2389</t>
  </si>
  <si>
    <t>Bromochloromethane</t>
  </si>
  <si>
    <t>74-97-5</t>
  </si>
  <si>
    <t>CP2390</t>
  </si>
  <si>
    <t>CP2391</t>
  </si>
  <si>
    <t>75-25-2</t>
  </si>
  <si>
    <t>CP2392</t>
  </si>
  <si>
    <t>n-Butylbenzene</t>
  </si>
  <si>
    <t>CP2393</t>
  </si>
  <si>
    <t>CP2394</t>
  </si>
  <si>
    <t>tert-Butylbenzene</t>
  </si>
  <si>
    <t>CP2395</t>
  </si>
  <si>
    <t>Carbon tetrachloride</t>
  </si>
  <si>
    <t>56-23-5</t>
  </si>
  <si>
    <t>CP2396</t>
  </si>
  <si>
    <t>Chlorobenzene</t>
  </si>
  <si>
    <t>108-90-7</t>
  </si>
  <si>
    <t>CP2397</t>
  </si>
  <si>
    <t>67-66-3</t>
  </si>
  <si>
    <t>CP2398</t>
  </si>
  <si>
    <t>2-Chlorotoluene</t>
  </si>
  <si>
    <t>CP2399</t>
  </si>
  <si>
    <t>4-Chlorotoluene</t>
  </si>
  <si>
    <t>CP2400</t>
  </si>
  <si>
    <t>Dibromochloromethane</t>
  </si>
  <si>
    <t>CP2401</t>
  </si>
  <si>
    <t>1,2-Dibromo-3-chloropropane</t>
  </si>
  <si>
    <t>96-12-8</t>
  </si>
  <si>
    <t>CP2402</t>
  </si>
  <si>
    <t>1,2-Dibromoethane</t>
  </si>
  <si>
    <t>106-93-4</t>
  </si>
  <si>
    <t>CP2403</t>
  </si>
  <si>
    <t>Dibromomethane</t>
  </si>
  <si>
    <t>74-95-3</t>
  </si>
  <si>
    <t>CP2404</t>
  </si>
  <si>
    <t>1,1-Dichloroethane</t>
  </si>
  <si>
    <t>75-34-3</t>
  </si>
  <si>
    <t>CP2405</t>
  </si>
  <si>
    <t>1,2-Dichloroethane</t>
  </si>
  <si>
    <t>107-06-2</t>
  </si>
  <si>
    <t>CP2406</t>
  </si>
  <si>
    <t>1,1-Dichloroethene</t>
  </si>
  <si>
    <t>75-35-4</t>
  </si>
  <si>
    <t>CP2407</t>
  </si>
  <si>
    <t>cis-1,2-Dichloroethene</t>
  </si>
  <si>
    <t>156-59-2</t>
  </si>
  <si>
    <t>CP2408</t>
  </si>
  <si>
    <t>trans-1,2-Dichloroethene</t>
  </si>
  <si>
    <t>156-60-5</t>
  </si>
  <si>
    <t>CP2409</t>
  </si>
  <si>
    <t>1,2-Dichloropropane</t>
  </si>
  <si>
    <t>78-87-5</t>
  </si>
  <si>
    <t>CP2410</t>
  </si>
  <si>
    <t>1,3-Dichloropropane</t>
  </si>
  <si>
    <t>CP2411</t>
  </si>
  <si>
    <t>CP2412</t>
  </si>
  <si>
    <t>1,1-Dichloropropene</t>
  </si>
  <si>
    <t>563-58-6</t>
  </si>
  <si>
    <t>CP2413</t>
  </si>
  <si>
    <t>cis-1,3-Dichloropropene</t>
  </si>
  <si>
    <t>10061-01-5</t>
  </si>
  <si>
    <t>CP2414</t>
  </si>
  <si>
    <t>trans-1,3-Dichloropropene</t>
  </si>
  <si>
    <t>10061-02-6</t>
  </si>
  <si>
    <t>CP2415</t>
  </si>
  <si>
    <t>Ethylbenzene</t>
  </si>
  <si>
    <t>CP2416</t>
  </si>
  <si>
    <t>Isopropylbenzene</t>
  </si>
  <si>
    <t>CP2417</t>
  </si>
  <si>
    <t>CP2418</t>
  </si>
  <si>
    <t>Methylene chloride</t>
  </si>
  <si>
    <t>75-09-2</t>
  </si>
  <si>
    <t>CP2419</t>
  </si>
  <si>
    <t>n-Propylbenzene</t>
  </si>
  <si>
    <t>103-65-1</t>
  </si>
  <si>
    <t>CP2420</t>
  </si>
  <si>
    <t>Styrene</t>
  </si>
  <si>
    <t>CP2421</t>
  </si>
  <si>
    <t>1,1,1,2-Tetrachloroethane</t>
  </si>
  <si>
    <t>630-20-6</t>
  </si>
  <si>
    <t>CP2421_2</t>
  </si>
  <si>
    <t>CP2422</t>
  </si>
  <si>
    <t>1,1,2,2-Tetrachloroethane</t>
  </si>
  <si>
    <t>79-34-5</t>
  </si>
  <si>
    <t>CP2423</t>
  </si>
  <si>
    <t>Tetrachloroethene</t>
  </si>
  <si>
    <t>127-18-4</t>
  </si>
  <si>
    <t>CP2424</t>
  </si>
  <si>
    <t>CP2425</t>
  </si>
  <si>
    <t>1,2,3-Trichlorobenzene</t>
  </si>
  <si>
    <t>87-61-6</t>
  </si>
  <si>
    <t>CP2426</t>
  </si>
  <si>
    <t>1,1,1-Trichloroethane</t>
  </si>
  <si>
    <t>71-55-6</t>
  </si>
  <si>
    <t>CP2427</t>
  </si>
  <si>
    <t>1,1,2-Trichloroethane</t>
  </si>
  <si>
    <t>79-00-5</t>
  </si>
  <si>
    <t>CP2428</t>
  </si>
  <si>
    <t>Trichloroethene</t>
  </si>
  <si>
    <t>79-01-6</t>
  </si>
  <si>
    <t>CP2429</t>
  </si>
  <si>
    <t>1,2,3-Trichloropropane</t>
  </si>
  <si>
    <t>96-18-4</t>
  </si>
  <si>
    <t>CP2429_2</t>
  </si>
  <si>
    <t>CP2430</t>
  </si>
  <si>
    <t>CP2431</t>
  </si>
  <si>
    <t>1,3,5-Trimethylbenzene</t>
  </si>
  <si>
    <t>108-67-8</t>
  </si>
  <si>
    <t>CP2432</t>
  </si>
  <si>
    <t>o-Xylene</t>
  </si>
  <si>
    <t>CP2433</t>
  </si>
  <si>
    <t>m-Xylene</t>
  </si>
  <si>
    <t>108-38-3</t>
  </si>
  <si>
    <t>CP2434</t>
  </si>
  <si>
    <t>p-Xylene</t>
  </si>
  <si>
    <t>106-42-3</t>
  </si>
  <si>
    <t>CP2435</t>
  </si>
  <si>
    <t>1-Chloro-2,4-dinitrobenzene</t>
  </si>
  <si>
    <t>97-00-7</t>
  </si>
  <si>
    <t>CP2436</t>
  </si>
  <si>
    <t>1-Chloro-3,4-dinitrobenzene</t>
  </si>
  <si>
    <t>610-40-2</t>
  </si>
  <si>
    <t>CP2437</t>
  </si>
  <si>
    <t>CP2438</t>
  </si>
  <si>
    <t>CP2439</t>
  </si>
  <si>
    <t>2-Chloro-6-nitrotoluene</t>
  </si>
  <si>
    <t>CP2440</t>
  </si>
  <si>
    <t>4-Chloro-2-nitrotoluene</t>
  </si>
  <si>
    <t>CP2441</t>
  </si>
  <si>
    <t>4-Chloro-3-nitrotoluene</t>
  </si>
  <si>
    <t>CP2442</t>
  </si>
  <si>
    <t>CP2443</t>
  </si>
  <si>
    <t>2,4-Dichloronitrobenzene</t>
  </si>
  <si>
    <t>611-06-3</t>
  </si>
  <si>
    <t>CP2444</t>
  </si>
  <si>
    <t>3,5-Dichloronitrobenzene</t>
  </si>
  <si>
    <t>CP2445</t>
  </si>
  <si>
    <t>3,4-Dichloronitrobenzene</t>
  </si>
  <si>
    <t>99-54-7</t>
  </si>
  <si>
    <t>CP2446</t>
  </si>
  <si>
    <t>2,5-Dichloronitrobenzene</t>
  </si>
  <si>
    <t>89-61-2</t>
  </si>
  <si>
    <t>CP2447</t>
  </si>
  <si>
    <t>2,3,5,6-Tetrachloronitrobenzene</t>
  </si>
  <si>
    <t>117-18-0</t>
  </si>
  <si>
    <t>CP2448</t>
  </si>
  <si>
    <t>2,3,4,5-Tetrachloronitrobenzene</t>
  </si>
  <si>
    <t>879-39-0</t>
  </si>
  <si>
    <t>CP2449</t>
  </si>
  <si>
    <t>CP2450</t>
  </si>
  <si>
    <t>1,2,4-Trichloro-5-nitrobenzene</t>
  </si>
  <si>
    <t>89-69-0</t>
  </si>
  <si>
    <t>CP2451</t>
  </si>
  <si>
    <t>2,4,6-Trichloronitrobenzene</t>
  </si>
  <si>
    <t>18708-70-8</t>
  </si>
  <si>
    <t>CP2452</t>
  </si>
  <si>
    <t>4-Bromophenyl phenyl ether</t>
  </si>
  <si>
    <t>101-55-3</t>
  </si>
  <si>
    <t>CP2453</t>
  </si>
  <si>
    <t>2-Chlorophenyl-4'-nitrophenyl ether</t>
  </si>
  <si>
    <t>2091-61-4</t>
  </si>
  <si>
    <t>CP2454</t>
  </si>
  <si>
    <t>3-Chlorophenyl-4'-nitrophenyl ether</t>
  </si>
  <si>
    <t>2303-23-3</t>
  </si>
  <si>
    <t>CP2455</t>
  </si>
  <si>
    <t>4-Chlorophenyl-4'-nitrophenyl ether</t>
  </si>
  <si>
    <t>1836-74-4</t>
  </si>
  <si>
    <t>CP2457</t>
  </si>
  <si>
    <t>4-(2,4-dichlorophenoxy)-2-methyl-1-nitrobenzene</t>
  </si>
  <si>
    <t>42488-57-3</t>
  </si>
  <si>
    <t>CP2458</t>
  </si>
  <si>
    <t>CP2459</t>
  </si>
  <si>
    <t>3,5-Dichlorophenyl-4'-nitrophenyl ether</t>
  </si>
  <si>
    <t>CP2460</t>
  </si>
  <si>
    <t>2,5-Dichlorophenyl-4'-nitrophenyl ether</t>
  </si>
  <si>
    <t>39145-48-7</t>
  </si>
  <si>
    <t>CP2461</t>
  </si>
  <si>
    <t>2,3-Dichlorophenyl-4'-nitrophenyl ether</t>
  </si>
  <si>
    <t>CP2462</t>
  </si>
  <si>
    <t>3,4-Dichlorophenyl-4'-nitrophenyl ether</t>
  </si>
  <si>
    <t>22532-80-5</t>
  </si>
  <si>
    <t>CP2463</t>
  </si>
  <si>
    <t>CP2464</t>
  </si>
  <si>
    <t>1836-77-7</t>
  </si>
  <si>
    <t>CP2465</t>
  </si>
  <si>
    <t>142022-58-0</t>
  </si>
  <si>
    <t>CP2466</t>
  </si>
  <si>
    <t>142022-59-1</t>
  </si>
  <si>
    <t>CP2467</t>
  </si>
  <si>
    <t>22532-68-9</t>
  </si>
  <si>
    <t>CP2468</t>
  </si>
  <si>
    <t>142022-60-4</t>
  </si>
  <si>
    <t>CP2469</t>
  </si>
  <si>
    <t>142022-61-5</t>
  </si>
  <si>
    <t>CP2470</t>
  </si>
  <si>
    <t>Benzoylprop ethyl</t>
  </si>
  <si>
    <t>22212-55-1</t>
  </si>
  <si>
    <t>CP2471</t>
  </si>
  <si>
    <t>CP2472</t>
  </si>
  <si>
    <t>Carbaryl</t>
  </si>
  <si>
    <t>CP2473</t>
  </si>
  <si>
    <t>o-Chlorophenyl thiourea</t>
  </si>
  <si>
    <t>5344-82-1</t>
  </si>
  <si>
    <t>CP2474</t>
  </si>
  <si>
    <t>CP2475</t>
  </si>
  <si>
    <t>3,3'-Dimethylbenzidine</t>
  </si>
  <si>
    <t>CP2476</t>
  </si>
  <si>
    <t>Diuron</t>
  </si>
  <si>
    <t>CP2477</t>
  </si>
  <si>
    <t>Monuron</t>
  </si>
  <si>
    <t>CP2478</t>
  </si>
  <si>
    <t>Rotenone</t>
  </si>
  <si>
    <t>83-79-4</t>
  </si>
  <si>
    <t>CP2479</t>
  </si>
  <si>
    <t>Siduron</t>
  </si>
  <si>
    <t>CP2480</t>
  </si>
  <si>
    <t>CP2481</t>
  </si>
  <si>
    <t>Hexazinone</t>
  </si>
  <si>
    <t>CP2482</t>
  </si>
  <si>
    <t>Metribuzin</t>
  </si>
  <si>
    <t>CP2483</t>
  </si>
  <si>
    <t>CP2484</t>
  </si>
  <si>
    <t>CP2485</t>
  </si>
  <si>
    <t>EPTC</t>
  </si>
  <si>
    <t>CP2486</t>
  </si>
  <si>
    <t>Molinate</t>
  </si>
  <si>
    <t>CP2487</t>
  </si>
  <si>
    <t>CP2488</t>
  </si>
  <si>
    <t>CP2489</t>
  </si>
  <si>
    <t>Ethyl propionate</t>
  </si>
  <si>
    <t>CP2490</t>
  </si>
  <si>
    <t>CP2491</t>
  </si>
  <si>
    <t>CP2491_2</t>
  </si>
  <si>
    <t>CP2492</t>
  </si>
  <si>
    <t>CP2492_2</t>
  </si>
  <si>
    <t>CP2493</t>
  </si>
  <si>
    <t>CP2493_2</t>
  </si>
  <si>
    <t>CP2494</t>
  </si>
  <si>
    <t>Ethyl caprylate</t>
  </si>
  <si>
    <t>CP2494_2</t>
  </si>
  <si>
    <t>CP2495</t>
  </si>
  <si>
    <t>Ethyl pelargonate</t>
  </si>
  <si>
    <t>CP2496</t>
  </si>
  <si>
    <t>Ethyl caprate</t>
  </si>
  <si>
    <t>CP2497</t>
  </si>
  <si>
    <t>Ethyl undecanoate</t>
  </si>
  <si>
    <t>CP2498</t>
  </si>
  <si>
    <t>Ethyl laurate</t>
  </si>
  <si>
    <t>CP2499</t>
  </si>
  <si>
    <t>CP2500</t>
  </si>
  <si>
    <t>CP2501</t>
  </si>
  <si>
    <t>Ethyl stearate</t>
  </si>
  <si>
    <t>CP2502</t>
  </si>
  <si>
    <t>Aldicarb sulfoxide</t>
  </si>
  <si>
    <t>CP2503</t>
  </si>
  <si>
    <t>Aldicarb sulfone</t>
  </si>
  <si>
    <t>CP2504</t>
  </si>
  <si>
    <t>Oxamyl</t>
  </si>
  <si>
    <t>CP2505</t>
  </si>
  <si>
    <t>CP2506</t>
  </si>
  <si>
    <t>CP2507</t>
  </si>
  <si>
    <t>CP2508</t>
  </si>
  <si>
    <t>baygon</t>
  </si>
  <si>
    <t>CP2509</t>
  </si>
  <si>
    <t>CP2510</t>
  </si>
  <si>
    <t>CP2511</t>
  </si>
  <si>
    <t>2032-65-7</t>
  </si>
  <si>
    <t>CP2513</t>
  </si>
  <si>
    <t>1,4-Naphthoquinone</t>
  </si>
  <si>
    <t>CP2514</t>
  </si>
  <si>
    <t>CP2515</t>
  </si>
  <si>
    <t>CP2516</t>
  </si>
  <si>
    <t>CP2517</t>
  </si>
  <si>
    <t>CP2518</t>
  </si>
  <si>
    <t>CP2519</t>
  </si>
  <si>
    <t>Aramite</t>
  </si>
  <si>
    <t>CP2520</t>
  </si>
  <si>
    <t>m-Cresol</t>
  </si>
  <si>
    <t>CP2521</t>
  </si>
  <si>
    <t>2,6-Dichlorophenol</t>
  </si>
  <si>
    <t>87-65-0</t>
  </si>
  <si>
    <t>CP2522</t>
  </si>
  <si>
    <t>p-Dimethylaminoazobenzene</t>
  </si>
  <si>
    <t>CP2523</t>
  </si>
  <si>
    <t>7,12-Dimethylbenz(a)anthracene</t>
  </si>
  <si>
    <t>CP2524</t>
  </si>
  <si>
    <t>m-Dinitrobenzene</t>
  </si>
  <si>
    <t>CP2525</t>
  </si>
  <si>
    <t>Ethyl methacrylate</t>
  </si>
  <si>
    <t>CP2526</t>
  </si>
  <si>
    <t>Ethyl methanesulfonate</t>
  </si>
  <si>
    <t>62-50-0</t>
  </si>
  <si>
    <t>CP2526_2</t>
  </si>
  <si>
    <t>CP2526_3</t>
  </si>
  <si>
    <t>CP2527</t>
  </si>
  <si>
    <t>Hexachlorophene</t>
  </si>
  <si>
    <t>70-30-4</t>
  </si>
  <si>
    <t>CP2528</t>
  </si>
  <si>
    <t>Hexachloropropene</t>
  </si>
  <si>
    <t>CP2529</t>
  </si>
  <si>
    <t>CP2530</t>
  </si>
  <si>
    <t>Methapyrilene</t>
  </si>
  <si>
    <t>CP2531</t>
  </si>
  <si>
    <t>3-Methylcholanthrene</t>
  </si>
  <si>
    <t>CP2532</t>
  </si>
  <si>
    <t>Methyl methacrylate</t>
  </si>
  <si>
    <t>CP2533</t>
  </si>
  <si>
    <t>Methyl methanesulfonate</t>
  </si>
  <si>
    <t>CP2534</t>
  </si>
  <si>
    <t>CP2535</t>
  </si>
  <si>
    <t>CP2536</t>
  </si>
  <si>
    <t>CP2537</t>
  </si>
  <si>
    <t>N-Nitrosodiethylamine</t>
  </si>
  <si>
    <t>CP2538</t>
  </si>
  <si>
    <t>CP2539</t>
  </si>
  <si>
    <t>CP2540</t>
  </si>
  <si>
    <t>CP2541</t>
  </si>
  <si>
    <t>CP2542</t>
  </si>
  <si>
    <t>CP2543</t>
  </si>
  <si>
    <t>Pentachloroethane</t>
  </si>
  <si>
    <t>76-01-7</t>
  </si>
  <si>
    <t>CP2544</t>
  </si>
  <si>
    <t>CP2545</t>
  </si>
  <si>
    <t>CP2546</t>
  </si>
  <si>
    <t>CP2547</t>
  </si>
  <si>
    <t>Pronamide</t>
  </si>
  <si>
    <t>CP2548</t>
  </si>
  <si>
    <t>CP2549</t>
  </si>
  <si>
    <t>1,2,4,5-Tetrachlorobenzene</t>
  </si>
  <si>
    <t>95-94-3</t>
  </si>
  <si>
    <t>CP2550</t>
  </si>
  <si>
    <t>CP2551</t>
  </si>
  <si>
    <t>CP3001</t>
  </si>
  <si>
    <t>o-aminoazotoluene</t>
  </si>
  <si>
    <t>CP3002</t>
  </si>
  <si>
    <t>CP3003</t>
  </si>
  <si>
    <t>CP3004</t>
  </si>
  <si>
    <t>CP3005</t>
  </si>
  <si>
    <t>CP3006</t>
  </si>
  <si>
    <t>CP3007</t>
  </si>
  <si>
    <t>CP3008</t>
  </si>
  <si>
    <t>CP3008_2</t>
  </si>
  <si>
    <t>CP3009</t>
  </si>
  <si>
    <t>CP3010</t>
  </si>
  <si>
    <t>CP3011</t>
  </si>
  <si>
    <t>CP3012</t>
  </si>
  <si>
    <t>CP3013</t>
  </si>
  <si>
    <t>CP3014</t>
  </si>
  <si>
    <t>CP3015</t>
  </si>
  <si>
    <t>4,4'-Oxydianiline</t>
  </si>
  <si>
    <t>CP3016</t>
  </si>
  <si>
    <t>CP3017</t>
  </si>
  <si>
    <t>CP3018</t>
  </si>
  <si>
    <t>2,4,5-Trimethylaniline</t>
  </si>
  <si>
    <t>CP3019</t>
  </si>
  <si>
    <t>CP3020</t>
  </si>
  <si>
    <t>CP3021</t>
  </si>
  <si>
    <t>o-Anisidine</t>
  </si>
  <si>
    <t>CP3022</t>
  </si>
  <si>
    <t>3-Chloro-o-toluidine</t>
  </si>
  <si>
    <t>CP3023</t>
  </si>
  <si>
    <t>CP3024</t>
  </si>
  <si>
    <t>CP3025</t>
  </si>
  <si>
    <t>CP3026</t>
  </si>
  <si>
    <t>CP3027</t>
  </si>
  <si>
    <t>CP3028</t>
  </si>
  <si>
    <t>CP3029</t>
  </si>
  <si>
    <t>CP3030</t>
  </si>
  <si>
    <t>CP3031</t>
  </si>
  <si>
    <t>CP3032</t>
  </si>
  <si>
    <t>CP3033</t>
  </si>
  <si>
    <t>CP3034</t>
  </si>
  <si>
    <t>CP3034_2</t>
  </si>
  <si>
    <t>CP3035</t>
  </si>
  <si>
    <t>CP3036</t>
  </si>
  <si>
    <t>CP3037</t>
  </si>
  <si>
    <t>CP3038</t>
  </si>
  <si>
    <t>CP3039</t>
  </si>
  <si>
    <t>CP3040</t>
  </si>
  <si>
    <t>CP3041</t>
  </si>
  <si>
    <t>CP3042</t>
  </si>
  <si>
    <t>CP3043</t>
  </si>
  <si>
    <t>CP3044</t>
  </si>
  <si>
    <t>CP3045</t>
  </si>
  <si>
    <t>CP3046</t>
  </si>
  <si>
    <t>CP3047</t>
  </si>
  <si>
    <t>CP3048</t>
  </si>
  <si>
    <t>CP3049</t>
  </si>
  <si>
    <t>CP3050</t>
  </si>
  <si>
    <t>CP3051</t>
  </si>
  <si>
    <t>CP3052</t>
  </si>
  <si>
    <t>CP3053</t>
  </si>
  <si>
    <t>CP3054</t>
  </si>
  <si>
    <t>CP3055</t>
  </si>
  <si>
    <t>CP3056</t>
  </si>
  <si>
    <t>CP3057</t>
  </si>
  <si>
    <t>CP3058</t>
  </si>
  <si>
    <t>CP3059</t>
  </si>
  <si>
    <t>CP3060</t>
  </si>
  <si>
    <t>CP3061</t>
  </si>
  <si>
    <t>CP3061_2</t>
  </si>
  <si>
    <t>CP3062</t>
  </si>
  <si>
    <t>Hexachloroethane</t>
  </si>
  <si>
    <t>67-72-1</t>
  </si>
  <si>
    <t>CP3063</t>
  </si>
  <si>
    <t>CP3064</t>
  </si>
  <si>
    <t>CP3065</t>
  </si>
  <si>
    <t>CP3066</t>
  </si>
  <si>
    <t>CP3067</t>
  </si>
  <si>
    <t>CP3068</t>
  </si>
  <si>
    <t>CP3069</t>
  </si>
  <si>
    <t>CP3070</t>
  </si>
  <si>
    <t>CP3071</t>
  </si>
  <si>
    <t>CP3072</t>
  </si>
  <si>
    <t>CP3073</t>
  </si>
  <si>
    <t>CP3074</t>
  </si>
  <si>
    <t>CP3075</t>
  </si>
  <si>
    <t>CP3076</t>
  </si>
  <si>
    <t>CP3077</t>
  </si>
  <si>
    <t>CP3078</t>
  </si>
  <si>
    <t>CP3079</t>
  </si>
  <si>
    <t>CP3080</t>
  </si>
  <si>
    <t>CP3081</t>
  </si>
  <si>
    <t>CP3082</t>
  </si>
  <si>
    <t>CP3082_2</t>
  </si>
  <si>
    <t>CP3082_3</t>
  </si>
  <si>
    <t>CP3083</t>
  </si>
  <si>
    <t>Benzyl salicylate</t>
  </si>
  <si>
    <t>CP3084</t>
  </si>
  <si>
    <t>CP3085</t>
  </si>
  <si>
    <t>CP3086</t>
  </si>
  <si>
    <t>Cinnamyl acetate</t>
  </si>
  <si>
    <t>CP3087</t>
  </si>
  <si>
    <t>Cinnamyl alcohol</t>
  </si>
  <si>
    <t>CP3088</t>
  </si>
  <si>
    <t>CP3089</t>
  </si>
  <si>
    <t>Geraniol</t>
  </si>
  <si>
    <t>CP3090</t>
  </si>
  <si>
    <t>CP3091</t>
  </si>
  <si>
    <t>d-Limonene</t>
  </si>
  <si>
    <t>CP3092</t>
  </si>
  <si>
    <t>CP3093</t>
  </si>
  <si>
    <t>CP3094</t>
  </si>
  <si>
    <t>CP3095</t>
  </si>
  <si>
    <t>CP3096</t>
  </si>
  <si>
    <t>CP3096_2</t>
  </si>
  <si>
    <t>CP3097</t>
  </si>
  <si>
    <t>DFTPP</t>
  </si>
  <si>
    <t>5074-71-5</t>
  </si>
  <si>
    <t>CP3098</t>
  </si>
  <si>
    <t>n-Dodecane</t>
  </si>
  <si>
    <t>CP3099</t>
  </si>
  <si>
    <t>n-Tridecane</t>
  </si>
  <si>
    <t>CP3100</t>
  </si>
  <si>
    <t>n-Tetradecane</t>
  </si>
  <si>
    <t>CP3101</t>
  </si>
  <si>
    <t>n-Pentadecane</t>
  </si>
  <si>
    <t>CP3102</t>
  </si>
  <si>
    <t>n-Hexadecane</t>
  </si>
  <si>
    <t>CP3103</t>
  </si>
  <si>
    <t>n-Heptadecane</t>
  </si>
  <si>
    <t>CP3104</t>
  </si>
  <si>
    <t>n-Octadecane</t>
  </si>
  <si>
    <t>CP3105</t>
  </si>
  <si>
    <t>n-Nonadecane</t>
  </si>
  <si>
    <t>629-92-5</t>
  </si>
  <si>
    <t>CP3106</t>
  </si>
  <si>
    <t>n-Eicosane</t>
  </si>
  <si>
    <t>CP3107</t>
  </si>
  <si>
    <t>n-Docosane</t>
  </si>
  <si>
    <t>CP3108</t>
  </si>
  <si>
    <t>n-Tetracosane</t>
  </si>
  <si>
    <t>CP3109</t>
  </si>
  <si>
    <t>n-Hexacosane</t>
  </si>
  <si>
    <t>CP3110</t>
  </si>
  <si>
    <t>n-Octacosane</t>
  </si>
  <si>
    <t>CP3111</t>
  </si>
  <si>
    <t>n-Triacontane</t>
  </si>
  <si>
    <t>CP3112</t>
  </si>
  <si>
    <t>n-Dotriacontane</t>
  </si>
  <si>
    <t>CP3113</t>
  </si>
  <si>
    <t>CP3114</t>
  </si>
  <si>
    <t>CP3115</t>
  </si>
  <si>
    <t>CP3116</t>
  </si>
  <si>
    <t>Ethoprop</t>
  </si>
  <si>
    <t>13194-48-4</t>
  </si>
  <si>
    <t>CP3117</t>
  </si>
  <si>
    <t>CP3118</t>
  </si>
  <si>
    <t>Prometryne</t>
  </si>
  <si>
    <t>7287-19-6</t>
  </si>
  <si>
    <t>CP3119</t>
  </si>
  <si>
    <t>Propazine</t>
  </si>
  <si>
    <t>CP3120</t>
  </si>
  <si>
    <t>Terbutryn</t>
  </si>
  <si>
    <t>CP3121</t>
  </si>
  <si>
    <t>CP3122</t>
  </si>
  <si>
    <t>CP3123</t>
  </si>
  <si>
    <t>Atraton</t>
  </si>
  <si>
    <t>CP3124</t>
  </si>
  <si>
    <t>CP3125</t>
  </si>
  <si>
    <t>CP3126</t>
  </si>
  <si>
    <t>CP3127</t>
  </si>
  <si>
    <t>CP3128</t>
  </si>
  <si>
    <t>CP3129</t>
  </si>
  <si>
    <t>CP3130</t>
  </si>
  <si>
    <t>CP3131</t>
  </si>
  <si>
    <t>CP3132</t>
  </si>
  <si>
    <t>Dichlorvos</t>
  </si>
  <si>
    <t>62-73-7</t>
  </si>
  <si>
    <t>CP3133</t>
  </si>
  <si>
    <t>CP3134</t>
  </si>
  <si>
    <t>CP3135</t>
  </si>
  <si>
    <t>Napropamide</t>
  </si>
  <si>
    <t>CP3136</t>
  </si>
  <si>
    <t>CP3137</t>
  </si>
  <si>
    <t>Simetryn</t>
  </si>
  <si>
    <t>CP3138</t>
  </si>
  <si>
    <t>Tebuthiuron</t>
  </si>
  <si>
    <t>CP3139</t>
  </si>
  <si>
    <t>CP3140</t>
  </si>
  <si>
    <t>CP3141</t>
  </si>
  <si>
    <t>CP3142</t>
  </si>
  <si>
    <t>Maltol</t>
  </si>
  <si>
    <t>CP3143</t>
  </si>
  <si>
    <t>CP3144</t>
  </si>
  <si>
    <t>CP3145</t>
  </si>
  <si>
    <t>CP3147</t>
  </si>
  <si>
    <t>Glycerin</t>
  </si>
  <si>
    <t>CP3148</t>
  </si>
  <si>
    <t>CP3149</t>
  </si>
  <si>
    <t>CP3150</t>
  </si>
  <si>
    <t>CP3151</t>
  </si>
  <si>
    <t>CP3152</t>
  </si>
  <si>
    <t>Bioallethrin</t>
  </si>
  <si>
    <t>CP3153</t>
  </si>
  <si>
    <t>Cyfluthrin</t>
  </si>
  <si>
    <t>CP3157</t>
  </si>
  <si>
    <t>lambda-Cyhalothrin</t>
  </si>
  <si>
    <t>CP3158</t>
  </si>
  <si>
    <t>Cypermethrin_1</t>
  </si>
  <si>
    <t>CP3159</t>
  </si>
  <si>
    <t>CP3160</t>
  </si>
  <si>
    <t>CP3161</t>
  </si>
  <si>
    <t>CP3162</t>
  </si>
  <si>
    <t>CP3163</t>
  </si>
  <si>
    <t>CP3164</t>
  </si>
  <si>
    <t>Fenvalerate_1</t>
  </si>
  <si>
    <t>CP3165</t>
  </si>
  <si>
    <t>CP3166</t>
  </si>
  <si>
    <t>Flucythrinate_1</t>
  </si>
  <si>
    <t>CP3167</t>
  </si>
  <si>
    <t>CP3168</t>
  </si>
  <si>
    <t>tau-Fluvalinate</t>
  </si>
  <si>
    <t>CP3169</t>
  </si>
  <si>
    <t>CP3170</t>
  </si>
  <si>
    <t>cis-Permethrin</t>
  </si>
  <si>
    <t>CP3171</t>
  </si>
  <si>
    <t>trans-Permethrin</t>
  </si>
  <si>
    <t>CP3172</t>
  </si>
  <si>
    <t>CP3173</t>
  </si>
  <si>
    <t>CP3174</t>
  </si>
  <si>
    <t>Resmethrin</t>
  </si>
  <si>
    <t>CP3175</t>
  </si>
  <si>
    <t>CP3176</t>
  </si>
  <si>
    <t>Tetramethrin</t>
  </si>
  <si>
    <t>CP3177</t>
  </si>
  <si>
    <t>Transfluthrin</t>
  </si>
  <si>
    <t>CP3180</t>
  </si>
  <si>
    <t>CP3182</t>
  </si>
  <si>
    <t>CP3183</t>
  </si>
  <si>
    <t>CP3184</t>
  </si>
  <si>
    <t>CP3186</t>
  </si>
  <si>
    <t>CP3187</t>
  </si>
  <si>
    <t>Perfluoro-n-heptanoic acid</t>
  </si>
  <si>
    <t>375-85-9</t>
  </si>
  <si>
    <t>CP3188</t>
  </si>
  <si>
    <t>Perfluorohexanesulfonic acid</t>
  </si>
  <si>
    <t>355-46-4</t>
  </si>
  <si>
    <t>CP3189</t>
  </si>
  <si>
    <t>Perfluoro-n-octanoic acid</t>
  </si>
  <si>
    <t>335-67-1</t>
  </si>
  <si>
    <t>CP3190</t>
  </si>
  <si>
    <t>Perfluorooctanesulfonic acid</t>
  </si>
  <si>
    <t>1763-23-1</t>
  </si>
  <si>
    <t>CP3191</t>
  </si>
  <si>
    <t>CP3193</t>
  </si>
  <si>
    <t>CP3194</t>
  </si>
  <si>
    <t>CP3195</t>
  </si>
  <si>
    <t>Perfluoro-n-tridecanoic acid</t>
  </si>
  <si>
    <t>72629-94-8</t>
  </si>
  <si>
    <t>CP3196</t>
  </si>
  <si>
    <t>CP3197</t>
  </si>
  <si>
    <t>CP3198</t>
  </si>
  <si>
    <t>Glyphosate</t>
  </si>
  <si>
    <t>CP3210</t>
  </si>
  <si>
    <t>72236-72-7</t>
  </si>
  <si>
    <t>Octachlorodibenzofuran</t>
  </si>
  <si>
    <t>Perfluorononanoic acid</t>
  </si>
  <si>
    <t>alpha-Benzene hexachloride</t>
  </si>
  <si>
    <t>Baygon</t>
  </si>
  <si>
    <t>o-Cresol</t>
  </si>
  <si>
    <t>p-Cresol</t>
  </si>
  <si>
    <t>Mecoprop</t>
  </si>
  <si>
    <t>Parlar 26</t>
  </si>
  <si>
    <t>Parlar 62</t>
  </si>
  <si>
    <t>Prosulfuron</t>
  </si>
  <si>
    <t>p-Cresidine</t>
  </si>
  <si>
    <t>Rimsulfuron</t>
  </si>
  <si>
    <t>Oxasulfuron</t>
  </si>
  <si>
    <t>Butylparaben</t>
  </si>
  <si>
    <t>Triasulfuron</t>
  </si>
  <si>
    <t>Nicosulfuron</t>
  </si>
  <si>
    <t>Cis-nonachlor</t>
  </si>
  <si>
    <t>p-Nitrophenol</t>
  </si>
  <si>
    <t>Heptylparaben</t>
  </si>
  <si>
    <t>Propylparaben</t>
  </si>
  <si>
    <t>Benzylparaben</t>
  </si>
  <si>
    <t>Trans-permethrin</t>
  </si>
  <si>
    <t>o-Aminoazotoluene</t>
  </si>
  <si>
    <t>Potassium sorbate</t>
  </si>
  <si>
    <t>2,4-Diaminotoluene</t>
  </si>
  <si>
    <t>Tripentyl phosphate</t>
  </si>
  <si>
    <t>3-Hydroxycarbofuran</t>
  </si>
  <si>
    <t>Primisulfuron-methyl</t>
  </si>
  <si>
    <t>Trans cinnamaldehyde</t>
  </si>
  <si>
    <t>Mono-n-octyl phthalate</t>
  </si>
  <si>
    <t>Bis(2-Ethylhexyl)phthalate</t>
  </si>
  <si>
    <t>Bis(2-Chloroethoxy)methane</t>
  </si>
  <si>
    <t>S-Ethyl dipropylthiocarbamate</t>
  </si>
  <si>
    <t>4-Fluro-3-phenoxy-benzoic acid</t>
  </si>
  <si>
    <t>Bis(2-chloro-1-methylethyl)ether</t>
  </si>
  <si>
    <t>(3-Methylphenyl) diphenyl phosphate</t>
  </si>
  <si>
    <t>2-Bromoallyl-2,4,6-tribromophenyl ether</t>
  </si>
  <si>
    <t>p,p'-DDD</t>
  </si>
  <si>
    <t>BPA</t>
  </si>
  <si>
    <t>BPF</t>
  </si>
  <si>
    <t>BPS</t>
  </si>
  <si>
    <t>TEB</t>
  </si>
  <si>
    <t>Guthion</t>
  </si>
  <si>
    <t>Fenvalerate</t>
  </si>
  <si>
    <t>OPP</t>
  </si>
  <si>
    <t>Cypermethrin</t>
  </si>
  <si>
    <t>Deltamethrin</t>
  </si>
  <si>
    <t>Flucythrinate</t>
  </si>
  <si>
    <t>2,6-DNT</t>
  </si>
  <si>
    <t>DMP</t>
  </si>
  <si>
    <t>DMPht</t>
  </si>
  <si>
    <t>Tripentyl Phosphate</t>
  </si>
  <si>
    <t>MMA</t>
  </si>
  <si>
    <t>3-MC</t>
  </si>
  <si>
    <t>4-COT</t>
  </si>
  <si>
    <t>DBCM</t>
  </si>
  <si>
    <t>Pseudocumidine</t>
  </si>
  <si>
    <t>MOP</t>
  </si>
  <si>
    <t>NDEA</t>
  </si>
  <si>
    <t>o-Tolidine</t>
  </si>
  <si>
    <t>p-Chlorocresol</t>
  </si>
  <si>
    <t>o-Dianisidine</t>
  </si>
  <si>
    <t>3,5-DCNB</t>
  </si>
  <si>
    <t>MMS</t>
  </si>
  <si>
    <t>DMDE</t>
  </si>
  <si>
    <t>DEHP</t>
  </si>
  <si>
    <t>NDPA</t>
  </si>
  <si>
    <t>DAB</t>
  </si>
  <si>
    <t>4-Nitrodiphenyl ether</t>
  </si>
  <si>
    <t>4-Chlorodiphenyl ether</t>
  </si>
  <si>
    <t>DBahA</t>
  </si>
  <si>
    <t>TBBA</t>
  </si>
  <si>
    <t>DMBA</t>
  </si>
  <si>
    <t>2',4'-Formoxylidide</t>
  </si>
  <si>
    <t>TCPP (1-chloro-2-propyl)</t>
  </si>
  <si>
    <t>PCDF 94</t>
  </si>
  <si>
    <t>MEOHP</t>
  </si>
  <si>
    <t>MBOT</t>
  </si>
  <si>
    <t>cis-Permethric acid</t>
  </si>
  <si>
    <t>trans-Permethric acid</t>
  </si>
  <si>
    <t>Tris(tribromoneopentyl) phosphate</t>
  </si>
  <si>
    <t>Tris(1,3-dichloro-2-propyl) phosphate</t>
  </si>
  <si>
    <t>mz0</t>
  </si>
  <si>
    <t>mz1</t>
  </si>
  <si>
    <t>mz2</t>
  </si>
  <si>
    <t>mz3</t>
  </si>
  <si>
    <t>Triclocarban</t>
  </si>
  <si>
    <t>Malathion diacid</t>
  </si>
  <si>
    <t>Tetrabromophthalic Acid</t>
  </si>
  <si>
    <t>Sulfosulfuron</t>
  </si>
  <si>
    <t>1918-02-1</t>
  </si>
  <si>
    <t>Methiocarb</t>
  </si>
  <si>
    <t>2425-06-1</t>
  </si>
  <si>
    <t>2,3,4-Trichlorophenol</t>
  </si>
  <si>
    <t>Oxychlordane</t>
  </si>
  <si>
    <t>Octachlorostyrene</t>
  </si>
  <si>
    <t>Isodecyl Diphenyl Phosphate</t>
  </si>
  <si>
    <t>O,O-Diethyl dithiophosphate</t>
  </si>
  <si>
    <t>Allyl 2,4,6-tribromophenyl ether</t>
  </si>
  <si>
    <t>Tetrabromobisphenol A Bismethyl Ether</t>
  </si>
  <si>
    <t>Deltamethrin 1</t>
  </si>
  <si>
    <t>Bis(2,3-dibromopropyl) hydrogen phosphate</t>
  </si>
  <si>
    <t>O,O-Diethylthiophosphoric Acid</t>
  </si>
  <si>
    <t>Tris(2-chloropropyl) phosphate</t>
  </si>
  <si>
    <t>Mono(3-carboxypropyl) phthalate</t>
  </si>
  <si>
    <t>O,O-Dimethyl dithiophosphate</t>
  </si>
  <si>
    <t>Tri-O-cresyl phosphate</t>
  </si>
  <si>
    <t>Bisphenol A</t>
  </si>
  <si>
    <t>Dimethyl phosphate</t>
  </si>
  <si>
    <t>2,4-Dichlorophenoxyacetic acid</t>
  </si>
  <si>
    <t>4-Chloro-o-toluidine</t>
  </si>
  <si>
    <t>Bromo-TMP-Phenol</t>
  </si>
  <si>
    <t>N-Nitrosoethylmethylamine (NEMA)</t>
  </si>
  <si>
    <t>p-Phenylenediamine (PPD)</t>
  </si>
  <si>
    <t>Mono-isononyl phthalate (MiNP)</t>
  </si>
  <si>
    <t>Bis(2-Chloroethyl)ether (BCEE)</t>
  </si>
  <si>
    <t>Pebulate (Tillam)</t>
  </si>
  <si>
    <t>Tris(2-chloroethyl) phosphate (TCEP)</t>
  </si>
  <si>
    <t>Di-n-octyl phthalate (DNOP)</t>
  </si>
  <si>
    <t>Hexachlorobenzene (HCB)</t>
  </si>
  <si>
    <t>2,4,6-Tribromophenol (TBPhe)</t>
  </si>
  <si>
    <t>Diphenylamine (DPA)</t>
  </si>
  <si>
    <t>2-Ethylhexyldiphenylphosphate (EHDP)</t>
  </si>
  <si>
    <t>Benzophenone-3 (oxybenzone)</t>
  </si>
  <si>
    <t>Mono-n-butyl phthalate (MnBP)</t>
  </si>
  <si>
    <t>N,N-Diethyl-meta-toluamide (DEET)</t>
  </si>
  <si>
    <t>Ethyl acetate (EtOAc)</t>
  </si>
  <si>
    <t>Tris(tribromoneopentyl) phosphate (TTBNPP)</t>
  </si>
  <si>
    <t>Propylene thiourea (PTU)</t>
  </si>
  <si>
    <t>Tris(tribromoneopentyl) (TTBNP)</t>
  </si>
  <si>
    <t>Mono-ethyl phthalate (MEP)</t>
  </si>
  <si>
    <t>Chlorpyrifos (CPF)</t>
  </si>
  <si>
    <t>Perfluorohexanoic Acid (PFHxA)</t>
  </si>
  <si>
    <t>Mono-isobutyl phthalate (MiBP)</t>
  </si>
  <si>
    <t>Perfluoro-n-tetradecanoic acid (PFTA)</t>
  </si>
  <si>
    <t>Mono-methyl phthalate (MMP)</t>
  </si>
  <si>
    <t>Mono-2-ethylhexyl phthalate (MEHP)</t>
  </si>
  <si>
    <t>1,8-Cineole (Eucalyptol)</t>
  </si>
  <si>
    <t>Piperonyl butoxide (PBO)</t>
  </si>
  <si>
    <t>N-Nitrosomorpholine (NMOR)</t>
  </si>
  <si>
    <t>4,4'-DDE (p,p'-DDE)</t>
  </si>
  <si>
    <t>Tri-P-cresyl phosphate (TCP)</t>
  </si>
  <si>
    <t>Tris(2-ethylhexyl) phosphate (TEHP)</t>
  </si>
  <si>
    <t>Tris(2-butoxyethyl) phosphate (TBEP)</t>
  </si>
  <si>
    <t>Thifensulfuron-methyl (TFM)</t>
  </si>
  <si>
    <t>Diethyl phthalate (DEP)</t>
  </si>
  <si>
    <t>Tetrahydrophthalimide (THPI)</t>
  </si>
  <si>
    <t>Butyl benzyl phthalate (BBP)</t>
  </si>
  <si>
    <t>Endosulfan I (Endosulfan)</t>
  </si>
  <si>
    <t>Protocatechuic acid (PCA)</t>
  </si>
  <si>
    <t>5-Nitro-o-toluidine (5-NOT)</t>
  </si>
  <si>
    <t>GROUP
  Class
    Subclass
Chemical Name (Alias or Abbreviation)</t>
  </si>
  <si>
    <t>1-Chloro-4-nitrobenzene (PNCB)</t>
  </si>
  <si>
    <t>4,4'-Diaminodiphenylmethane (MDA)</t>
  </si>
  <si>
    <t>Tebuconazole (TEB)</t>
  </si>
  <si>
    <t>O,O-Dimethyl thiophosphate (DMTP)</t>
  </si>
  <si>
    <t>Bis(2-Ethylhexyl)phthalate (DEHP)</t>
  </si>
  <si>
    <t>Pyridaphenthion (PDPT)</t>
  </si>
  <si>
    <t>3,3'-Dimethylbenzidine (o-Tolidine)</t>
  </si>
  <si>
    <t>2,4-Dichlorophenol (2,4-DCP)</t>
  </si>
  <si>
    <t>2,4-Dinitrotoluene (2,4-DNT)</t>
  </si>
  <si>
    <t>Dibromochloromethane (DBCM)</t>
  </si>
  <si>
    <t>Tributyl phosphate (TBP)</t>
  </si>
  <si>
    <t>Dimethyl phthalate (DMPht)</t>
  </si>
  <si>
    <t>sec-Butylbenzene (sec-BB)</t>
  </si>
  <si>
    <t>2,4,5-Trimethylaniline (Pseudocumidine)</t>
  </si>
  <si>
    <t>4,4'-Thiodianiline (TDA)</t>
  </si>
  <si>
    <t>1,2,3-Trichloro-4-nitrobenzene (TCNB)</t>
  </si>
  <si>
    <t>Benzo(g,h,i)perylene (BghiP)</t>
  </si>
  <si>
    <t>Indeno(1,2,3-cd)pyrene (IP)</t>
  </si>
  <si>
    <t>4,4'-Methoxychlor olefin (DMDE)</t>
  </si>
  <si>
    <t>Mono-benzyl phthalate (MBzP)</t>
  </si>
  <si>
    <t>Phenothrin, trans (trans-phenothrin)</t>
  </si>
  <si>
    <t>Azinphos ethyl (Guthion)</t>
  </si>
  <si>
    <t>2,3,4,5-Tetrabromobenzoic acid (TBBA)</t>
  </si>
  <si>
    <t>Perfluoro-n-dodecanoic acid (PFDA)</t>
  </si>
  <si>
    <t>alpha-Benzene hexachloride (a-BHC)</t>
  </si>
  <si>
    <t>2,3-Dichloronitrobenzene (2,3-DCNB)</t>
  </si>
  <si>
    <t>Octachlorodibenzo-p-dioxin (OCDD)</t>
  </si>
  <si>
    <t>Bromfenvinphos (E) (0)</t>
  </si>
  <si>
    <t>3-Phenoxybenzoic acid (3-PBA)</t>
  </si>
  <si>
    <t>Perfluorononanoic acid (PFNA)</t>
  </si>
  <si>
    <t>Octachlorodibenzofuran (OCDF)</t>
  </si>
  <si>
    <t>Tetrabromobisphenol S (TBBPS)</t>
  </si>
  <si>
    <t>4,4'-DDT (p,p'-DDT)</t>
  </si>
  <si>
    <t>2,4-Dinitrophenol (2,4-DNP)</t>
  </si>
  <si>
    <t>Trimethyl phosphate (TMP)</t>
  </si>
  <si>
    <t>Triisopropyl phosphate (TIPP)</t>
  </si>
  <si>
    <t>Tripropyl phosphate (TPP)</t>
  </si>
  <si>
    <t>Fenvalerate_1 (Fenvalerate)</t>
  </si>
  <si>
    <t>Cypermethrin_1 (Cypermethrin)</t>
  </si>
  <si>
    <t>Deltamethrin 1 (Deltamethrin)</t>
  </si>
  <si>
    <t>2-Acetylaminofluorene (2-AAF)</t>
  </si>
  <si>
    <t>2-Methyl-4,6-dinitrophenol (DNOC)</t>
  </si>
  <si>
    <t>Mono-n-octyl phthalate (MOP)</t>
  </si>
  <si>
    <t>1,3-Dichlorobenzene (1,3-DCB)</t>
  </si>
  <si>
    <t>N-Nitrosodiethylamine (NDEA)</t>
  </si>
  <si>
    <t>Ethyl parathion (Parathion)</t>
  </si>
  <si>
    <t>3-Methylcholanthrene (3-MC)</t>
  </si>
  <si>
    <t>4-Nitroquinoline-1-oxide (4-NQO)</t>
  </si>
  <si>
    <t>Tri-M-cresyl phosphate (TMCP)</t>
  </si>
  <si>
    <t>7,12-Dimethylbenz(a)anthracene (DMBA)</t>
  </si>
  <si>
    <t>2,2-Dichloropropane (2,2-DCP)</t>
  </si>
  <si>
    <t>Fluridone (Sonar)</t>
  </si>
  <si>
    <t>p-Dimethylaminoazobenzene (DAB)</t>
  </si>
  <si>
    <t>2,6-Dinitrotoluene (2,6-DNT)</t>
  </si>
  <si>
    <t>3,5-Dichloronitrobenzene (3,5-DCNB)</t>
  </si>
  <si>
    <t>Bisphenol F (BPF)</t>
  </si>
  <si>
    <t>N-Nitrosodi-n-propylamine (NDPA)</t>
  </si>
  <si>
    <t>Methyl methanesulfonate (MMS)</t>
  </si>
  <si>
    <t xml:space="preserve">     (3-Methylphenyl) diphenyl phosphate</t>
  </si>
  <si>
    <t>Flucythrinate_1 (Flucythrinate)</t>
  </si>
  <si>
    <t>4,4'-DDD (p,p'-DDD)</t>
  </si>
  <si>
    <t>Bromodichloromethane (BDCM)</t>
  </si>
  <si>
    <t>Mono-cyclohexyl phthalate (MCHP)</t>
  </si>
  <si>
    <t>S-Ethyl dipropylthiocarbamate (EPTC)</t>
  </si>
  <si>
    <t>2,4'-DDT (o,p'-DDT)</t>
  </si>
  <si>
    <t>Tetrabromobisphenol A (TBBPA)</t>
  </si>
  <si>
    <t>Bisphenol A (BPA)</t>
  </si>
  <si>
    <t>Bisphenol S (BPS)</t>
  </si>
  <si>
    <t>Chlorfenson (Ovex) (Ovex)</t>
  </si>
  <si>
    <t>Methyl methacrylate (MMA)</t>
  </si>
  <si>
    <t>Dimethyl phosphate (DMP)</t>
  </si>
  <si>
    <t>Pentachloronitrobenzene (PCNB)</t>
  </si>
  <si>
    <t>2,4,6-Trichlorophenol (2,4,6-TCP)</t>
  </si>
  <si>
    <t>1-Chloro-2-nitrobenzene (ONCB)</t>
  </si>
  <si>
    <t>2-Phenylphenol (OPP)</t>
  </si>
  <si>
    <t>N-Nitrosodi-n-butylamine (NDBA)</t>
  </si>
  <si>
    <t>N-Nitrosopyrrolidine (NPYR)</t>
  </si>
  <si>
    <t>1,2,4-Trimethylbenzene (1,2,4-TMB)</t>
  </si>
  <si>
    <t>4-Chloro-o-toluidine (4-COT)</t>
  </si>
  <si>
    <t>3,4-Dichloroaniline (3,4-DCA)</t>
  </si>
  <si>
    <t>2,4,5-Trichlorophenol (2,4,5-TCP)</t>
  </si>
  <si>
    <t>Ethylene thiourea (ETU)</t>
  </si>
  <si>
    <t>p-Isopropyltoluene (p-Cymene)</t>
  </si>
  <si>
    <t xml:space="preserve">     (±)-Nicotine (Nicotine)</t>
  </si>
  <si>
    <t>(±)-Nicotine</t>
  </si>
  <si>
    <t>(-)-Menthol (Menthol)</t>
  </si>
  <si>
    <t>MEcPP</t>
  </si>
  <si>
    <t>Tetrachlorvinphos (Stirophos)</t>
  </si>
  <si>
    <t>BDCPP</t>
  </si>
  <si>
    <t>bis(1,3-Dichloro-2-propyl) phosphate</t>
  </si>
  <si>
    <t>DCPMNB </t>
  </si>
  <si>
    <t>BDPP</t>
  </si>
  <si>
    <t>RT</t>
  </si>
  <si>
    <t>C₁₂H₁₀Cl₂N₂</t>
  </si>
  <si>
    <t>CH₂BrCl</t>
  </si>
  <si>
    <t>CH₂Cl₂</t>
  </si>
  <si>
    <t>CH₂Br₂</t>
  </si>
  <si>
    <t>C₁₂Br₁₀O</t>
  </si>
  <si>
    <t>C₁₂Cl₁₀</t>
  </si>
  <si>
    <t>C₁₀Cl₁₂</t>
  </si>
  <si>
    <t>C₁₀H₁₀Cl₂O₃</t>
  </si>
  <si>
    <t>C₁₀H₁₂BrCl₂O₃PS</t>
  </si>
  <si>
    <t>C₁₀H₁₂N₃O₃PS₂</t>
  </si>
  <si>
    <t>C₁₃H₁₀Cl₂S</t>
  </si>
  <si>
    <t>CHCl₃</t>
  </si>
  <si>
    <t>C₁₃H₁₀BrCl₂O₂PS</t>
  </si>
  <si>
    <t>C₁₃H₁₃Cl₂N₃O₃</t>
  </si>
  <si>
    <t>CHBr₃</t>
  </si>
  <si>
    <t>C₄H₁₀ClO₂PS</t>
  </si>
  <si>
    <t>C₂₂H₃₁O₄P</t>
  </si>
  <si>
    <t>C₄H₁₁O₂PS₂</t>
  </si>
  <si>
    <t>C₃H₄Cl₂</t>
  </si>
  <si>
    <t>C₁₀H₁₀BrCl₂O₄P</t>
  </si>
  <si>
    <t>CCl₄</t>
  </si>
  <si>
    <t>C₁₂H₁₄Cl₃O₄P</t>
  </si>
  <si>
    <t>C₁₃H₁₄F₃N₃O₄</t>
  </si>
  <si>
    <t>C₁₂H₁₃ClF₃N₃O₄</t>
  </si>
  <si>
    <t>C₂₄H₃₂O₄</t>
  </si>
  <si>
    <t>C₁₂H₄Cl₄O₂</t>
  </si>
  <si>
    <t>C₁₂H₄Cl₄O</t>
  </si>
  <si>
    <t>C₁₄H₁₄NO₄PS</t>
  </si>
  <si>
    <t>C₁₃HF₂₅O₂</t>
  </si>
  <si>
    <t>C₃H₅Br₂Cl</t>
  </si>
  <si>
    <t>C₁₅H₁₂Cl₄O₂</t>
  </si>
  <si>
    <t>C₁₅H₁₄Cl₂F₃N₃O₃</t>
  </si>
  <si>
    <t>C₁₂H₃Cl₅O₂</t>
  </si>
  <si>
    <t>C₁₅H₁₅ClF₃N₃O</t>
  </si>
  <si>
    <t>C₁₃H₁₁Cl₂NO₅</t>
  </si>
  <si>
    <t>C₅H₅Cl₃N₂OS</t>
  </si>
  <si>
    <t>C₁₅H₂₃N₃O₄</t>
  </si>
  <si>
    <t>C₁₅H₁₁ClF₃NO₄</t>
  </si>
  <si>
    <t>C₁₄H₁₅O₂PS₂</t>
  </si>
  <si>
    <t>C₁₁H₁₅NO₂S</t>
  </si>
  <si>
    <t>C₁₁H₁₅Cl₂O₂PS₂</t>
  </si>
  <si>
    <t>C₁₁H₁₅BrClO₃PS</t>
  </si>
  <si>
    <t>C₁₂H₁₅ClNO₄PS₂</t>
  </si>
  <si>
    <t>C₁₀H₁₅NO</t>
  </si>
  <si>
    <t>C₂₄H₁₀Cl₆N₂O₅</t>
  </si>
  <si>
    <t>C₆H₁₁Br₄O₄P</t>
  </si>
  <si>
    <t>C₁₀H₆Cl₄O₄</t>
  </si>
  <si>
    <t>C₁₂H₂Cl₆O</t>
  </si>
  <si>
    <t>C₆H₃Cl₃O</t>
  </si>
  <si>
    <t>C₆HCl₄NO₂</t>
  </si>
  <si>
    <t>C₁₂H₁₂O₆</t>
  </si>
  <si>
    <t>C₆HF₁₁O₂</t>
  </si>
  <si>
    <t>C₆HF₁₃O₃S</t>
  </si>
  <si>
    <t>C₆H₃Cl₄N</t>
  </si>
  <si>
    <t>C₆H₂Cl₄</t>
  </si>
  <si>
    <t>C₆H₂Cl₄O</t>
  </si>
  <si>
    <t>C₅Cl₆</t>
  </si>
  <si>
    <t>C₆H₂Br₄O</t>
  </si>
  <si>
    <t>C₆H₃Cl₃</t>
  </si>
  <si>
    <t>C₄Cl₆</t>
  </si>
  <si>
    <t>C₆H₂Cl₅N</t>
  </si>
  <si>
    <t>C₁₂H₂Cl₆O₂</t>
  </si>
  <si>
    <t>C₆H₁₁O₆PS₂</t>
  </si>
  <si>
    <t>C₁₆H₁₄Cl₂O₃</t>
  </si>
  <si>
    <t>C₁₁H₁₆ClO₂PS₃</t>
  </si>
  <si>
    <t>C₆H₅Cl</t>
  </si>
  <si>
    <t>C₆H₅Br</t>
  </si>
  <si>
    <t>C₁₃H₁₆F₃N₃O₄</t>
  </si>
  <si>
    <t>C₁₄H₁₆F₃N₃O₄</t>
  </si>
  <si>
    <t>C₁₄H₁₆ClN₃O</t>
  </si>
  <si>
    <t>C₁₆H₁₅F₂N₃Si</t>
  </si>
  <si>
    <t>C₁₂H₆Cl₄O₂S</t>
  </si>
  <si>
    <t>C₁₄H₁₆ClO₅PS</t>
  </si>
  <si>
    <t>C₆H₄Cl₂N₂O₂</t>
  </si>
  <si>
    <t>C₁₂H₄Cl₂F₆N₄OS</t>
  </si>
  <si>
    <t>C₆H₃Cl₃N₂O₂</t>
  </si>
  <si>
    <t>C₂₃H₂₂O₆</t>
  </si>
  <si>
    <t>C₁₂H₄Br₆O</t>
  </si>
  <si>
    <t>C₁₂H₄Br₆</t>
  </si>
  <si>
    <t>C₆H₆</t>
  </si>
  <si>
    <t>C₁₇H₁₆Br₄O₂</t>
  </si>
  <si>
    <t>C₁₀H₅Cl₇O</t>
  </si>
  <si>
    <t>C₂H₇O₂PS₂</t>
  </si>
  <si>
    <t>C₇HF₁₃O₂</t>
  </si>
  <si>
    <t>C₇H₄Cl₂O₂</t>
  </si>
  <si>
    <t>C₇Cl₅N</t>
  </si>
  <si>
    <t>C₇H₇ClN₂S</t>
  </si>
  <si>
    <t>C₇H₃Cl₅S</t>
  </si>
  <si>
    <t>C₁₂HCl₇O₂</t>
  </si>
  <si>
    <t>C₁₂HCl₇O</t>
  </si>
  <si>
    <t>C₇H₇Cl₃NO₃PS</t>
  </si>
  <si>
    <t>C₁₂H₇Br₃O</t>
  </si>
  <si>
    <t>C₁₇H₁₆Br₂O₃</t>
  </si>
  <si>
    <t>C₁₅H₁₇ClN₄</t>
  </si>
  <si>
    <t>C₁₄H₇ClF₃NO₅</t>
  </si>
  <si>
    <t>C₇H₁₃O₅PS</t>
  </si>
  <si>
    <t>C₇H₅Cl₂NO₂</t>
  </si>
  <si>
    <t>C₁₃H₁₇F₃N₄O₄</t>
  </si>
  <si>
    <t>C₁₇H₁₆F₃NO₂</t>
  </si>
  <si>
    <t>C₁₀H₅Cl₇</t>
  </si>
  <si>
    <t>C₁₇H₁₂Cl₂N₂O</t>
  </si>
  <si>
    <t>C₁₂H₃Br₇O</t>
  </si>
  <si>
    <t>C₁₂H₈ClNO₃</t>
  </si>
  <si>
    <t>C₈H₅Cl₃O₃</t>
  </si>
  <si>
    <t>C₄H₈Cl₂O</t>
  </si>
  <si>
    <t>C₈H₁₂Br₄</t>
  </si>
  <si>
    <t>C₈HF₁₇O₃S</t>
  </si>
  <si>
    <t>C₁₈H₂₂O</t>
  </si>
  <si>
    <t>C₈HF₁₅O₂</t>
  </si>
  <si>
    <t>C₁₃H₈Cl₂O</t>
  </si>
  <si>
    <t>C₈H₂Br₄O₄</t>
  </si>
  <si>
    <t>C₃H₈O₃S</t>
  </si>
  <si>
    <t>C₁₈H₁₇Cl₂NO₃</t>
  </si>
  <si>
    <t>C₈Cl₈</t>
  </si>
  <si>
    <t>C₈H₈BrCl₂O₃PS</t>
  </si>
  <si>
    <t>C₁₀H₆Cl₈</t>
  </si>
  <si>
    <t>C₁₂H₈Cl₆O</t>
  </si>
  <si>
    <t>C₈Cl₄N₂</t>
  </si>
  <si>
    <t>C₈H₇Br</t>
  </si>
  <si>
    <t>C₁₆H₁₈N₆O₇S₂</t>
  </si>
  <si>
    <t>C₁₈H₂₄ClN₃O</t>
  </si>
  <si>
    <t>C₁₀H₄Cl₈O</t>
  </si>
  <si>
    <t>C₈H₈Cl₃O₃PS</t>
  </si>
  <si>
    <t>C₈H₈Cl₂O₂</t>
  </si>
  <si>
    <t>C₈H₂₀O₅P₂S₂</t>
  </si>
  <si>
    <t>C₁₂H₂Cl₈</t>
  </si>
  <si>
    <t>C₁₂H₈Cl₆</t>
  </si>
  <si>
    <t>C₁₈H₅F₁₀P</t>
  </si>
  <si>
    <t>C₁₃H₉Cl₂NO₃</t>
  </si>
  <si>
    <t>C₉H₇Br₃O</t>
  </si>
  <si>
    <t>C₉HF₁₇O₂</t>
  </si>
  <si>
    <t>C₁₀H₉Cl₄O₄P</t>
  </si>
  <si>
    <t>C₁₂H₉BrO</t>
  </si>
  <si>
    <t>C₅H₉Br₃O</t>
  </si>
  <si>
    <t>C₁₂H₁₉O₄P</t>
  </si>
  <si>
    <t>C₁₇H₁₉F₃N₆O₆S</t>
  </si>
  <si>
    <t>C₉H₇N₃S</t>
  </si>
  <si>
    <t>C₉H₆Cl₆O₄S</t>
  </si>
  <si>
    <t>C₁₉H₂₀F₃NO₄</t>
  </si>
  <si>
    <t>C₉H₈Cl₂O₃</t>
  </si>
  <si>
    <t>C₉H₆Cl₆O</t>
  </si>
  <si>
    <t>C₉H₁₁Cl₂O₃PS</t>
  </si>
  <si>
    <t>C₁₃H₉Cl₃N₂O</t>
  </si>
  <si>
    <t>C₉H₁₂NO₅PS</t>
  </si>
  <si>
    <t>C₁₉H₄₀</t>
  </si>
  <si>
    <t>C₂₀H₁₉NO₃</t>
  </si>
  <si>
    <t>C₁₂H₉ClF₃N₃O</t>
  </si>
  <si>
    <t>C₁₉H₂₆O₄S</t>
  </si>
  <si>
    <t>C₉H₁₇ClN₃O₃PS</t>
  </si>
  <si>
    <t>C₁₉H₂₅ClN₂OS</t>
  </si>
  <si>
    <t>C₉H₂₁O₂PS₃</t>
  </si>
  <si>
    <t>C₈H₁₉O₂PS₂</t>
  </si>
  <si>
    <t>C₁₀H₉Cl₄NO₂S</t>
  </si>
  <si>
    <t>C₉H₉Cl₂NO</t>
  </si>
  <si>
    <t>C₁₂HCl₉</t>
  </si>
  <si>
    <t>C₁₂HBr₉O</t>
  </si>
  <si>
    <t>C₉H₂₂O₄P₂S₄</t>
  </si>
  <si>
    <t>C₁₂H₉ClO₃S</t>
  </si>
  <si>
    <t>T-RT</t>
  </si>
  <si>
    <t>Protocatechuic acid (PCA)*</t>
  </si>
  <si>
    <t>Ethyl undecanoate*</t>
  </si>
  <si>
    <t>Benzene*</t>
  </si>
  <si>
    <t>Bromoform*</t>
  </si>
  <si>
    <t>Chloroform*</t>
  </si>
  <si>
    <t>Order</t>
  </si>
  <si>
    <t>DDT</t>
  </si>
  <si>
    <t>DDE</t>
  </si>
  <si>
    <t>DDD</t>
  </si>
  <si>
    <t>Monoiso</t>
  </si>
  <si>
    <t>Dichlorodiphenyltrichloroethane</t>
  </si>
  <si>
    <t>Dichlorodiphenyldichloroethylene</t>
  </si>
  <si>
    <t>Dichlorodiphenyldichloroethane</t>
  </si>
  <si>
    <t>2,4'-DDD (o,p'-DDD)</t>
  </si>
  <si>
    <t>beta-Benzene hexachloride (β-BHC)</t>
  </si>
  <si>
    <t>gamma-Benzene hexachloride (γ-BHC)</t>
  </si>
  <si>
    <t>γ-BHC</t>
  </si>
  <si>
    <t>delta-Benzene hexachloride (δ-BHC)</t>
  </si>
  <si>
    <t>Library ID</t>
  </si>
  <si>
    <t>#</t>
  </si>
  <si>
    <t>2,3,4,7,8-Pentachlorodibenzofuran</t>
  </si>
  <si>
    <t>PCB</t>
  </si>
  <si>
    <t>BDE</t>
  </si>
  <si>
    <t>PCDF</t>
  </si>
  <si>
    <t>Parlar 50</t>
  </si>
  <si>
    <t>HxCDF</t>
  </si>
  <si>
    <t>HxCDD</t>
  </si>
  <si>
    <t>PeCDD</t>
  </si>
  <si>
    <t>HpCDF</t>
  </si>
  <si>
    <t>HpCDD</t>
  </si>
  <si>
    <t>polychlorinated biphenyl</t>
  </si>
  <si>
    <t>Pentachlorodibenzofuran</t>
  </si>
  <si>
    <t>International Agency for Research on Cancer</t>
  </si>
  <si>
    <t>IARC</t>
  </si>
  <si>
    <t>parts per billion</t>
  </si>
  <si>
    <t>PPB</t>
  </si>
  <si>
    <t>nitrophenyl ether</t>
  </si>
  <si>
    <t>NPE</t>
  </si>
  <si>
    <t>Dichlorophenyl</t>
  </si>
  <si>
    <t>DCP</t>
  </si>
  <si>
    <t>Trichlorophenyl</t>
  </si>
  <si>
    <t>2,3,6-TCP-4’-NPE</t>
  </si>
  <si>
    <t>2,3,5-TCP-4’-NPE</t>
  </si>
  <si>
    <t>3,4,5-TCP-4’-NPE</t>
  </si>
  <si>
    <t>2,3,4-TCP-4’-NPE</t>
  </si>
  <si>
    <t>2,4,6-TCP-4’-NPE</t>
  </si>
  <si>
    <t>2,4,5-TCP-4’-NPE</t>
  </si>
  <si>
    <t>TCP-4’-NPE</t>
  </si>
  <si>
    <t>C13H14N2</t>
  </si>
  <si>
    <t>C6H8N2</t>
  </si>
  <si>
    <t>C6H7N</t>
  </si>
  <si>
    <t>K</t>
  </si>
  <si>
    <t>Heptachlorodibenzo-p-dioxin</t>
  </si>
  <si>
    <t>C₈H₁₀</t>
  </si>
  <si>
    <t>C₈H₈</t>
  </si>
  <si>
    <t>C₇H₈O</t>
  </si>
  <si>
    <t>C₇H₉NO</t>
  </si>
  <si>
    <t>C₆H₅ClO</t>
  </si>
  <si>
    <t>C₈H₁₀O</t>
  </si>
  <si>
    <t>C₇H₇Cl</t>
  </si>
  <si>
    <t>C₂H₄Br₂</t>
  </si>
  <si>
    <t>C₂H₄Cl₂</t>
  </si>
  <si>
    <t>C₇H₈</t>
  </si>
  <si>
    <t>C₆H₆O</t>
  </si>
  <si>
    <t>C₆H₇N</t>
  </si>
  <si>
    <t>C₇H₁₄N₂O₂S</t>
  </si>
  <si>
    <t>C₇H₃Cl₂N</t>
  </si>
  <si>
    <t>C₈H₁₁NO</t>
  </si>
  <si>
    <t>C₂Cl₄</t>
  </si>
  <si>
    <t>C₄H₈O₂</t>
  </si>
  <si>
    <t>C₁₂H₆Cl₃NO₃</t>
  </si>
  <si>
    <t>C₂H₂Cl₂</t>
  </si>
  <si>
    <t>C₆H₇KO₂</t>
  </si>
  <si>
    <t>C₆H₄N₂O₅</t>
  </si>
  <si>
    <t>C₉H₂₁O₃PS₂</t>
  </si>
  <si>
    <t>C₇H₇ClO</t>
  </si>
  <si>
    <t>C₆HBr₅O</t>
  </si>
  <si>
    <t>C₆H₃ClN₂O₄</t>
  </si>
  <si>
    <t>C₄H₇Cl₂O₄P</t>
  </si>
  <si>
    <t>C₂H₂Cl₄</t>
  </si>
  <si>
    <t>C₇H₆O₂</t>
  </si>
  <si>
    <t>C₂Cl₆</t>
  </si>
  <si>
    <t>C₁₃H₆Cl₆O₂</t>
  </si>
  <si>
    <t>C₂H₃Cl₃</t>
  </si>
  <si>
    <t>C₆H₁₁Cl₄O₄P</t>
  </si>
  <si>
    <t>C₂HCl₅</t>
  </si>
  <si>
    <t>C₅H₈O₂</t>
  </si>
  <si>
    <t>C₁₄H₈O₂</t>
  </si>
  <si>
    <t>C₆HCl₅O</t>
  </si>
  <si>
    <t>C₁₂H₁₀O</t>
  </si>
  <si>
    <t>C₉H₉NO₃</t>
  </si>
  <si>
    <t>C₇H₁₀N₂</t>
  </si>
  <si>
    <t>C₃H₅Cl₃</t>
  </si>
  <si>
    <t>C₁₂H₁₅N₅O₂S</t>
  </si>
  <si>
    <t>C₈H₈O</t>
  </si>
  <si>
    <t>C₆H₄N₂O₄</t>
  </si>
  <si>
    <t xml:space="preserve">	
C7H7Cl</t>
  </si>
  <si>
    <t xml:space="preserve">	
C6H6ClN</t>
  </si>
  <si>
    <t xml:space="preserve">	
C₁₂H11N</t>
  </si>
  <si>
    <t xml:space="preserve">	
C₇H₉N</t>
  </si>
  <si>
    <t>DBahA = Dibenz(a,h)anthracene</t>
  </si>
  <si>
    <t>Dibenz(a,h)anthracene</t>
  </si>
  <si>
    <t>CDC</t>
  </si>
  <si>
    <t>Centers for Disease Control and Prevention</t>
  </si>
  <si>
    <t>LOD</t>
  </si>
  <si>
    <t>limit of detection</t>
  </si>
  <si>
    <t>NHANES</t>
  </si>
  <si>
    <t>National Health and Nutrition Examination Survey</t>
  </si>
  <si>
    <t>PAH</t>
  </si>
  <si>
    <t>brominated diphenyl ether</t>
  </si>
  <si>
    <t>compounds</t>
  </si>
  <si>
    <t>linear</t>
  </si>
  <si>
    <t>lipid-like molecules</t>
  </si>
  <si>
    <t>organic</t>
  </si>
  <si>
    <t>organoheterocyclic</t>
  </si>
  <si>
    <t>polycyclic aromatic hydrocarbon</t>
  </si>
  <si>
    <t>polyketides</t>
  </si>
  <si>
    <t>retention time</t>
  </si>
  <si>
    <t>mz</t>
  </si>
  <si>
    <t>mass-to-charge ratio</t>
  </si>
  <si>
    <t>min</t>
  </si>
  <si>
    <t>minutes</t>
  </si>
  <si>
    <t>Decafluorotriphenylphosphine</t>
  </si>
  <si>
    <t>Ethyl p-nitrophenyl phenylphosphorothioate</t>
  </si>
  <si>
    <t>Hexachlorodibenzo-P-dioxin</t>
  </si>
  <si>
    <t>1,2,3,6,7,8-HxCDD</t>
  </si>
  <si>
    <t xml:space="preserve">Hexachlorodibenzofuran </t>
  </si>
  <si>
    <t xml:space="preserve">Heptachlorodibenzofuran </t>
  </si>
  <si>
    <t>4,4'-Methylenebis(o-toluidine)</t>
  </si>
  <si>
    <t>McLaughlin Gormley King-264 (also known as N-2-Ethylhexylbicycloheptenedicarboximide)</t>
  </si>
  <si>
    <t>PBB</t>
  </si>
  <si>
    <t>polybrominated biphenyl</t>
  </si>
  <si>
    <t>pentachlorodibenzo-p-dioxin</t>
  </si>
  <si>
    <t>tetrachlorodibenzofuran</t>
  </si>
  <si>
    <t>tetrachlorodibenzo-p-dioxin</t>
  </si>
  <si>
    <t>9Cl-PF3ONS = 9-Chlorohexadecafluoro-3-oxanone-1-sulfonic acid</t>
  </si>
  <si>
    <t>BDCPP = bis(1,3-Dichloro-2-propyl) phosphate</t>
  </si>
  <si>
    <t>BDE = brominated diphenyl ether</t>
  </si>
  <si>
    <t>BDPP = Bis(2,3-dibromopropyl) hydrogen phosphate</t>
  </si>
  <si>
    <t>Bromo-TMP-Phenol = 2-Bromo-4-(2,4,4-trimethylpentan-2-yl)phenol</t>
  </si>
  <si>
    <t>CAS = Chemical Abstracts Service (Number)</t>
  </si>
  <si>
    <t>CDC = Centers for Disease Control and Prevention</t>
  </si>
  <si>
    <t>CID = Compound ID (PubChem)</t>
  </si>
  <si>
    <t>Compds. = compounds</t>
  </si>
  <si>
    <t>DCP = Dichlorophenyl</t>
  </si>
  <si>
    <t>DCPMNB  = 4-(2,4-dichlorophenoxy)-2-methyl-1-nitrobenzene</t>
  </si>
  <si>
    <t>DDD = Dichlorodiphenyldichloroethane</t>
  </si>
  <si>
    <t>DDE = Dichlorodiphenyldichloroethylene</t>
  </si>
  <si>
    <t>DDT = Dichlorodiphenyltrichloroethane</t>
  </si>
  <si>
    <t>DFTPP = Decafluorotriphenylphosphine</t>
  </si>
  <si>
    <t>DTPAs = Dithiophosphoric Acids</t>
  </si>
  <si>
    <t>EPN = Ethyl p-nitrophenyl phenylphosphorothioate</t>
  </si>
  <si>
    <t>EtFOSAA = N-Ethylperfluoro-1-octanesulfonamidoacetic acid (linear)</t>
  </si>
  <si>
    <t>Furaneol = 4-Hydroxy-2,5-dimethyl-3(2H)-furanone</t>
  </si>
  <si>
    <t>HpCDD = Heptachlorodibenzo-p-dioxin</t>
  </si>
  <si>
    <t xml:space="preserve">HpCDF = Heptachlorodibenzofuran </t>
  </si>
  <si>
    <t>HxCDD = Hexachlorodibenzo-P-dioxin</t>
  </si>
  <si>
    <t xml:space="preserve">HxCDF = Hexachlorodibenzofuran </t>
  </si>
  <si>
    <t>IARC = International Agency for Research on Cancer</t>
  </si>
  <si>
    <t>IMHP = 2-Isopropyl-6-methyl-4-pyrimidinol</t>
  </si>
  <si>
    <t>Lin. = linear</t>
  </si>
  <si>
    <t>LLMs = lipid-like molecules</t>
  </si>
  <si>
    <t>LOD = limit of detection</t>
  </si>
  <si>
    <t>MBOT = 4,4'-Methylenebis(o-toluidine)</t>
  </si>
  <si>
    <t>MCPA = 2-Methyl-4-chlorophenoxyacetic acid</t>
  </si>
  <si>
    <t>MEcPP = Mono(5-carboxy-2-ethylpentyl) phthalate</t>
  </si>
  <si>
    <t>MEHHP = Mono(2-ethyl-5-hydroxyhexyl) phthalate</t>
  </si>
  <si>
    <t>MEOHP = Mono(2-ethyl-5-oxohexyl) phthalate</t>
  </si>
  <si>
    <t>MGK-264 = McLaughlin Gormley King-264 (also known as N-2-Ethylhexylbicycloheptenedicarboximide)</t>
  </si>
  <si>
    <t>min = minutes</t>
  </si>
  <si>
    <t>MOCA = 4,4'-Methylenebis(2-chloroaniline)</t>
  </si>
  <si>
    <t>mz = mass-to-charge ratio</t>
  </si>
  <si>
    <t>N-MeFOSAA = N-Methylperfluoro-1-octanesulfonamidoacetic acid (linear)</t>
  </si>
  <si>
    <t>NHANES = National Health and Nutrition Examination Survey</t>
  </si>
  <si>
    <t>NPE = nitrophenyl ether</t>
  </si>
  <si>
    <t>o-Dianisidine = 3,3'-Dimethoxybenzidine</t>
  </si>
  <si>
    <t>OD-PABA = Octyl-dimethyl-p-aminobenzoic acid</t>
  </si>
  <si>
    <t>Org = organic</t>
  </si>
  <si>
    <t>Org. Heterocycl. = organoheterocyclic</t>
  </si>
  <si>
    <t>p-Chlorocresol = 4-Chloro-3-methylphenol</t>
  </si>
  <si>
    <t>PAH = polycyclic aromatic hydrocarbon</t>
  </si>
  <si>
    <t>PBB = polybrominated biphenyl</t>
  </si>
  <si>
    <t>PCB = polychlorinated biphenyl</t>
  </si>
  <si>
    <t>PCDF = Pentachlorodibenzofuran</t>
  </si>
  <si>
    <t>PeCDD = pentachlorodibenzo-p-dioxin</t>
  </si>
  <si>
    <t>PKs = polyketides</t>
  </si>
  <si>
    <t>PPB = parts per billion</t>
  </si>
  <si>
    <t>RT = retention time</t>
  </si>
  <si>
    <t>SDs = Substituted Derivatives</t>
  </si>
  <si>
    <t>TBBPA-BAE = Tetrabromobisphenol A bis(allyl ether)</t>
  </si>
  <si>
    <t>TCDD = tetrachlorodibenzo-p-dioxin</t>
  </si>
  <si>
    <t>TCDF = tetrachlorodibenzofuran</t>
  </si>
  <si>
    <t>TCP = Trichlorophenyl</t>
  </si>
  <si>
    <t>TCP-4’-NPE = TCP-4’-NPE</t>
  </si>
  <si>
    <t>TCPP = Tris(1-chloro-2-propyl) phosphate</t>
  </si>
  <si>
    <t>TDCPP = Tris(1,3-dichloro-2-propyl)phosphate</t>
  </si>
  <si>
    <t>TEEP = Tetraethyl ethylenediphosphonate</t>
  </si>
  <si>
    <t>TPAs = Thiophosphoric acids</t>
  </si>
  <si>
    <t>TTBNPP = Tris(tribromoneopentyl)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</si>
</sst>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E+00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6"/>
      <color theme="1"/>
      <name val="Times New Roman"/>
      <family val="1"/>
    </font>
    <font>
      <sz val="6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i/>
      <u/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theme="1"/>
      <name val="Aptos Narrow"/>
      <family val="2"/>
      <scheme val="minor"/>
    </font>
    <font>
      <i/>
      <u/>
      <sz val="8"/>
      <color rgb="FF000000"/>
      <name val="Times New Roman"/>
      <family val="1"/>
    </font>
    <font>
      <i/>
      <sz val="8"/>
      <color rgb="FF000000"/>
      <name val="Times New Roman"/>
      <family val="1"/>
    </font>
    <font>
      <sz val="8"/>
      <color rgb="FF000000"/>
      <name val="Aptos Narrow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6"/>
      <color rgb="FFFF0000"/>
      <name val="Times New Roman"/>
      <family val="1"/>
    </font>
    <font>
      <sz val="8"/>
      <color rgb="FFFF0000"/>
      <name val="Times New Roman"/>
      <family val="1"/>
    </font>
    <font>
      <sz val="7"/>
      <color rgb="FFFF0000"/>
      <name val="Times New Roman"/>
      <family val="1"/>
    </font>
    <font>
      <b/>
      <sz val="7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6"/>
      <color theme="1"/>
      <name val="Times New Roman"/>
      <family val="1"/>
    </font>
    <font>
      <sz val="6"/>
      <color rgb="FF000000"/>
      <name val="Times New Roman"/>
      <family val="1"/>
    </font>
    <font>
      <b/>
      <sz val="10"/>
      <color theme="1"/>
      <name val="Times New Roman"/>
      <family val="1"/>
    </font>
    <font>
      <sz val="8"/>
      <name val="Times New Roman"/>
      <family val="1"/>
    </font>
    <font>
      <i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" fillId="0" borderId="0" xfId="0" applyFont="1"/>
    <xf numFmtId="0" fontId="11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26" fillId="0" borderId="2" xfId="0" applyFont="1" applyBorder="1" applyAlignment="1">
      <alignment horizontal="left" wrapText="1"/>
    </xf>
    <xf numFmtId="164" fontId="26" fillId="0" borderId="2" xfId="1" applyNumberFormat="1" applyFont="1" applyBorder="1" applyAlignment="1">
      <alignment horizontal="left" wrapText="1"/>
    </xf>
    <xf numFmtId="0" fontId="10" fillId="0" borderId="2" xfId="0" applyFont="1" applyBorder="1" applyAlignment="1">
      <alignment horizontal="left"/>
    </xf>
    <xf numFmtId="49" fontId="10" fillId="0" borderId="2" xfId="0" applyNumberFormat="1" applyFont="1" applyBorder="1" applyAlignment="1">
      <alignment horizontal="left"/>
    </xf>
    <xf numFmtId="9" fontId="10" fillId="0" borderId="2" xfId="2" applyFont="1" applyBorder="1" applyAlignment="1">
      <alignment horizontal="left"/>
    </xf>
    <xf numFmtId="164" fontId="10" fillId="0" borderId="2" xfId="1" applyNumberFormat="1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165" fontId="27" fillId="0" borderId="2" xfId="0" applyNumberFormat="1" applyFont="1" applyBorder="1" applyAlignment="1">
      <alignment horizontal="left" wrapText="1"/>
    </xf>
    <xf numFmtId="0" fontId="27" fillId="0" borderId="2" xfId="0" applyFont="1" applyBorder="1" applyAlignment="1">
      <alignment horizontal="left" wrapText="1"/>
    </xf>
    <xf numFmtId="0" fontId="27" fillId="0" borderId="3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28" fillId="6" borderId="2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7" borderId="0" xfId="0" applyFill="1"/>
    <xf numFmtId="0" fontId="10" fillId="0" borderId="0" xfId="0" applyFont="1"/>
    <xf numFmtId="164" fontId="10" fillId="0" borderId="0" xfId="1" applyNumberFormat="1" applyFont="1" applyBorder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29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/>
    <xf numFmtId="0" fontId="21" fillId="0" borderId="0" xfId="0" applyFont="1"/>
    <xf numFmtId="0" fontId="31" fillId="0" borderId="0" xfId="0" applyFont="1" applyAlignment="1">
      <alignment horizontal="center"/>
    </xf>
    <xf numFmtId="0" fontId="16" fillId="8" borderId="1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6" fillId="8" borderId="0" xfId="0" applyFont="1" applyFill="1"/>
    <xf numFmtId="0" fontId="6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 wrapText="1"/>
    </xf>
    <xf numFmtId="0" fontId="9" fillId="8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0" fillId="8" borderId="0" xfId="0" applyFill="1"/>
    <xf numFmtId="0" fontId="12" fillId="0" borderId="0" xfId="0" applyFont="1" applyAlignment="1">
      <alignment horizontal="center" vertical="center"/>
    </xf>
    <xf numFmtId="0" fontId="33" fillId="0" borderId="0" xfId="0" applyFont="1"/>
    <xf numFmtId="0" fontId="21" fillId="0" borderId="0" xfId="0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74E0-D226-7149-8260-1391A8262D70}">
  <dimension ref="A1:P1991"/>
  <sheetViews>
    <sheetView topLeftCell="A201" zoomScale="140" zoomScaleNormal="140" workbookViewId="0">
      <selection activeCell="D219" sqref="D219"/>
    </sheetView>
  </sheetViews>
  <sheetFormatPr baseColWidth="10" defaultRowHeight="16" x14ac:dyDescent="0.2"/>
  <cols>
    <col min="1" max="1" width="6.6640625" bestFit="1" customWidth="1"/>
    <col min="2" max="2" width="6.5" bestFit="1" customWidth="1"/>
    <col min="3" max="3" width="12.1640625" bestFit="1" customWidth="1"/>
    <col min="4" max="4" width="24.83203125" style="60" bestFit="1" customWidth="1"/>
    <col min="5" max="5" width="8.5" bestFit="1" customWidth="1"/>
    <col min="6" max="6" width="10.6640625" bestFit="1" customWidth="1"/>
    <col min="7" max="7" width="9" bestFit="1" customWidth="1"/>
    <col min="8" max="11" width="8.33203125" bestFit="1" customWidth="1"/>
    <col min="12" max="12" width="7.5" style="78" customWidth="1"/>
    <col min="13" max="13" width="8.83203125" style="78" customWidth="1"/>
    <col min="16" max="16" width="25.33203125" style="64" bestFit="1" customWidth="1"/>
  </cols>
  <sheetData>
    <row r="1" spans="1:16" x14ac:dyDescent="0.2">
      <c r="A1" s="54" t="s">
        <v>3548</v>
      </c>
      <c r="B1" s="56" t="s">
        <v>3562</v>
      </c>
      <c r="C1" s="56" t="s">
        <v>3561</v>
      </c>
      <c r="D1" s="58" t="s">
        <v>1007</v>
      </c>
      <c r="E1" s="56" t="s">
        <v>998</v>
      </c>
      <c r="F1" s="56" t="s">
        <v>3552</v>
      </c>
      <c r="G1" s="56" t="s">
        <v>3542</v>
      </c>
      <c r="H1" s="56" t="s">
        <v>3221</v>
      </c>
      <c r="I1" s="56" t="s">
        <v>3222</v>
      </c>
      <c r="J1" s="56" t="s">
        <v>3223</v>
      </c>
      <c r="K1" s="56" t="s">
        <v>3224</v>
      </c>
      <c r="L1" s="72"/>
      <c r="M1" s="72" t="s">
        <v>1014</v>
      </c>
      <c r="P1" s="65"/>
    </row>
    <row r="2" spans="1:16" x14ac:dyDescent="0.2">
      <c r="A2" s="54">
        <v>1</v>
      </c>
      <c r="B2" s="57">
        <v>1</v>
      </c>
      <c r="C2" s="57" t="s">
        <v>2666</v>
      </c>
      <c r="D2" s="59" t="s">
        <v>3291</v>
      </c>
      <c r="E2" s="57" t="s">
        <v>390</v>
      </c>
      <c r="F2" s="57">
        <v>156.9931</v>
      </c>
      <c r="G2" s="57">
        <v>3.8666</v>
      </c>
      <c r="H2" s="57">
        <v>98.999600000000001</v>
      </c>
      <c r="I2" s="57">
        <v>126.99469999999999</v>
      </c>
      <c r="J2" s="57">
        <v>110.9997</v>
      </c>
      <c r="K2" s="57">
        <v>156.99279999999999</v>
      </c>
      <c r="L2" s="75" t="s">
        <v>388</v>
      </c>
      <c r="M2" s="75" t="s">
        <v>388</v>
      </c>
    </row>
    <row r="3" spans="1:16" x14ac:dyDescent="0.2">
      <c r="A3" s="54">
        <v>2</v>
      </c>
      <c r="B3" s="57">
        <v>2</v>
      </c>
      <c r="C3" s="57" t="s">
        <v>2955</v>
      </c>
      <c r="D3" s="59" t="s">
        <v>2292</v>
      </c>
      <c r="E3" s="57" t="s">
        <v>412</v>
      </c>
      <c r="F3" s="57">
        <v>138.0429</v>
      </c>
      <c r="G3" s="57">
        <v>4.4295</v>
      </c>
      <c r="H3" s="57">
        <v>138.04239999999999</v>
      </c>
      <c r="I3" s="57">
        <v>108.0444</v>
      </c>
      <c r="J3" s="57">
        <v>92.049499999999995</v>
      </c>
      <c r="K3" s="57">
        <v>139.04580000000001</v>
      </c>
      <c r="L3" s="75" t="s">
        <v>410</v>
      </c>
      <c r="M3" s="75" t="s">
        <v>410</v>
      </c>
    </row>
    <row r="4" spans="1:16" x14ac:dyDescent="0.2">
      <c r="A4" s="54">
        <v>3</v>
      </c>
      <c r="B4" s="57" t="s">
        <v>1</v>
      </c>
      <c r="C4" s="57" t="s">
        <v>2291</v>
      </c>
      <c r="D4" s="59" t="s">
        <v>1</v>
      </c>
      <c r="E4" s="57" t="s">
        <v>1</v>
      </c>
      <c r="F4" s="57" t="s">
        <v>1</v>
      </c>
      <c r="G4" s="57">
        <v>12.309799999999999</v>
      </c>
      <c r="H4" s="57">
        <v>138.04239999999999</v>
      </c>
      <c r="I4" s="57">
        <v>108.0444</v>
      </c>
      <c r="J4" s="57">
        <v>92.025700000000001</v>
      </c>
      <c r="K4" s="57">
        <v>139.04990000000001</v>
      </c>
      <c r="L4" s="75">
        <v>0</v>
      </c>
      <c r="M4" s="75" t="s">
        <v>1</v>
      </c>
    </row>
    <row r="5" spans="1:16" x14ac:dyDescent="0.2">
      <c r="A5" s="54">
        <v>4</v>
      </c>
      <c r="B5" s="57">
        <v>3</v>
      </c>
      <c r="C5" s="57" t="s">
        <v>2328</v>
      </c>
      <c r="D5" s="59" t="s">
        <v>3156</v>
      </c>
      <c r="E5" s="57" t="s">
        <v>575</v>
      </c>
      <c r="F5" s="57">
        <v>139.02690000000001</v>
      </c>
      <c r="G5" s="57">
        <v>8.1323000000000008</v>
      </c>
      <c r="H5" s="57">
        <v>139.0265</v>
      </c>
      <c r="I5" s="57">
        <v>109.0284</v>
      </c>
      <c r="J5" s="57">
        <v>110.0318</v>
      </c>
      <c r="K5" s="57">
        <v>105.0699</v>
      </c>
      <c r="L5" s="75" t="s">
        <v>515</v>
      </c>
      <c r="M5" s="75" t="s">
        <v>515</v>
      </c>
    </row>
    <row r="6" spans="1:16" x14ac:dyDescent="0.2">
      <c r="A6" s="54">
        <v>5</v>
      </c>
      <c r="B6" s="57" t="s">
        <v>1</v>
      </c>
      <c r="C6" s="57" t="s">
        <v>2958</v>
      </c>
      <c r="D6" s="59" t="s">
        <v>1</v>
      </c>
      <c r="E6" s="57" t="s">
        <v>1</v>
      </c>
      <c r="F6" s="57" t="s">
        <v>1</v>
      </c>
      <c r="G6" s="57">
        <v>4.4295</v>
      </c>
      <c r="H6" s="57">
        <v>139.0265</v>
      </c>
      <c r="I6" s="57">
        <v>109.02849999999999</v>
      </c>
      <c r="J6" s="57">
        <v>140.02979999999999</v>
      </c>
      <c r="K6" s="57">
        <v>110.0364</v>
      </c>
      <c r="L6" s="75">
        <v>0</v>
      </c>
      <c r="M6" s="75" t="s">
        <v>1</v>
      </c>
    </row>
    <row r="7" spans="1:16" x14ac:dyDescent="0.2">
      <c r="A7" s="54">
        <v>6</v>
      </c>
      <c r="B7" s="57">
        <v>4</v>
      </c>
      <c r="C7" s="57" t="s">
        <v>2607</v>
      </c>
      <c r="D7" s="59" t="s">
        <v>2608</v>
      </c>
      <c r="E7" s="57" t="s">
        <v>178</v>
      </c>
      <c r="F7" s="57">
        <v>106.0783</v>
      </c>
      <c r="G7" s="57">
        <v>3.8961999999999999</v>
      </c>
      <c r="H7" s="57">
        <v>107.0492</v>
      </c>
      <c r="I7" s="57">
        <v>135.0805</v>
      </c>
      <c r="J7" s="57">
        <v>108.0526</v>
      </c>
      <c r="K7" s="57">
        <v>106.078</v>
      </c>
      <c r="L7" s="75"/>
      <c r="M7" s="73" t="s">
        <v>3596</v>
      </c>
    </row>
    <row r="8" spans="1:16" x14ac:dyDescent="0.2">
      <c r="A8" s="54">
        <v>7</v>
      </c>
      <c r="B8" s="57">
        <v>5</v>
      </c>
      <c r="C8" s="57" t="s">
        <v>2618</v>
      </c>
      <c r="D8" s="59" t="s">
        <v>2619</v>
      </c>
      <c r="E8" s="57" t="s">
        <v>512</v>
      </c>
      <c r="F8" s="57">
        <v>104.0626</v>
      </c>
      <c r="G8" s="57">
        <v>3.7688000000000001</v>
      </c>
      <c r="H8" s="57">
        <v>104.0621</v>
      </c>
      <c r="I8" s="57">
        <v>105.0656</v>
      </c>
      <c r="J8" s="57">
        <v>106.0778</v>
      </c>
      <c r="K8" s="57">
        <v>133.06479999999999</v>
      </c>
      <c r="L8" s="75"/>
      <c r="M8" s="73" t="s">
        <v>3597</v>
      </c>
    </row>
    <row r="9" spans="1:16" x14ac:dyDescent="0.2">
      <c r="A9" s="54">
        <v>8</v>
      </c>
      <c r="B9" s="57">
        <v>6</v>
      </c>
      <c r="C9" s="57" t="s">
        <v>2280</v>
      </c>
      <c r="D9" s="59" t="s">
        <v>2281</v>
      </c>
      <c r="E9" s="57" t="s">
        <v>5</v>
      </c>
      <c r="F9" s="57">
        <v>108.0575</v>
      </c>
      <c r="G9" s="57">
        <v>19.2242</v>
      </c>
      <c r="H9" s="57">
        <v>108.05719999999999</v>
      </c>
      <c r="I9" s="57">
        <v>107.0857</v>
      </c>
      <c r="J9" s="57">
        <v>109.065</v>
      </c>
      <c r="K9" s="57">
        <v>105.0701</v>
      </c>
      <c r="L9" s="75" t="s">
        <v>3598</v>
      </c>
      <c r="M9" s="75" t="s">
        <v>3598</v>
      </c>
    </row>
    <row r="10" spans="1:16" x14ac:dyDescent="0.2">
      <c r="A10" s="54">
        <v>9</v>
      </c>
      <c r="B10" s="57">
        <v>7</v>
      </c>
      <c r="C10" s="57" t="s">
        <v>2601</v>
      </c>
      <c r="D10" s="59" t="s">
        <v>2602</v>
      </c>
      <c r="E10" s="57" t="s">
        <v>2603</v>
      </c>
      <c r="F10" s="57">
        <v>109.96899999999999</v>
      </c>
      <c r="G10" s="57">
        <v>5.3319000000000001</v>
      </c>
      <c r="H10" s="57">
        <v>106.96850000000001</v>
      </c>
      <c r="I10" s="57">
        <v>107.9344</v>
      </c>
      <c r="J10" s="57">
        <v>97.973200000000006</v>
      </c>
      <c r="K10" s="57">
        <v>110.96120000000001</v>
      </c>
      <c r="L10" s="75" t="s">
        <v>3402</v>
      </c>
      <c r="M10" s="75" t="s">
        <v>3402</v>
      </c>
    </row>
    <row r="11" spans="1:16" x14ac:dyDescent="0.2">
      <c r="A11" s="54">
        <v>10</v>
      </c>
      <c r="B11" s="57">
        <v>8</v>
      </c>
      <c r="C11" s="57" t="s">
        <v>2604</v>
      </c>
      <c r="D11" s="59" t="s">
        <v>2605</v>
      </c>
      <c r="E11" s="57" t="s">
        <v>2606</v>
      </c>
      <c r="F11" s="57">
        <v>109.96899999999999</v>
      </c>
      <c r="G11" s="57">
        <v>5.7013999999999996</v>
      </c>
      <c r="H11" s="57">
        <v>106.96850000000001</v>
      </c>
      <c r="I11" s="57">
        <v>107.9344</v>
      </c>
      <c r="J11" s="57">
        <v>97.973200000000006</v>
      </c>
      <c r="K11" s="57">
        <v>110.96120000000001</v>
      </c>
      <c r="L11" s="75" t="s">
        <v>3402</v>
      </c>
      <c r="M11" s="75" t="s">
        <v>3402</v>
      </c>
    </row>
    <row r="12" spans="1:16" x14ac:dyDescent="0.2">
      <c r="A12" s="54">
        <v>11</v>
      </c>
      <c r="B12" s="57">
        <v>9</v>
      </c>
      <c r="C12" s="57" t="s">
        <v>2506</v>
      </c>
      <c r="D12" s="59" t="s">
        <v>2507</v>
      </c>
      <c r="E12" s="57" t="s">
        <v>845</v>
      </c>
      <c r="F12" s="57">
        <v>434.041</v>
      </c>
      <c r="G12" s="57">
        <v>11.087999999999999</v>
      </c>
      <c r="H12" s="57">
        <v>182.06010000000001</v>
      </c>
      <c r="I12" s="57">
        <v>183.06360000000001</v>
      </c>
      <c r="J12" s="57">
        <v>139.99600000000001</v>
      </c>
      <c r="K12" s="57">
        <v>184.97329999999999</v>
      </c>
      <c r="L12" s="75" t="s">
        <v>844</v>
      </c>
      <c r="M12" s="75" t="s">
        <v>844</v>
      </c>
    </row>
    <row r="13" spans="1:16" x14ac:dyDescent="0.2">
      <c r="A13" s="54">
        <v>12</v>
      </c>
      <c r="B13" s="57">
        <v>10</v>
      </c>
      <c r="C13" s="57" t="s">
        <v>2889</v>
      </c>
      <c r="D13" s="59" t="s">
        <v>957</v>
      </c>
      <c r="E13" s="57" t="s">
        <v>577</v>
      </c>
      <c r="F13" s="57">
        <v>266.03775000000002</v>
      </c>
      <c r="G13" s="57">
        <v>12.809799999999999</v>
      </c>
      <c r="H13" s="57">
        <v>232.0284</v>
      </c>
      <c r="I13" s="57">
        <v>233.0367</v>
      </c>
      <c r="J13" s="57">
        <v>231.02070000000001</v>
      </c>
      <c r="K13" s="57">
        <v>140.00219999999999</v>
      </c>
      <c r="L13" s="75" t="s">
        <v>576</v>
      </c>
      <c r="M13" s="75" t="s">
        <v>576</v>
      </c>
    </row>
    <row r="14" spans="1:16" x14ac:dyDescent="0.2">
      <c r="A14" s="54">
        <v>13</v>
      </c>
      <c r="B14" s="57">
        <v>11</v>
      </c>
      <c r="C14" s="57" t="s">
        <v>2489</v>
      </c>
      <c r="D14" s="59" t="s">
        <v>3225</v>
      </c>
      <c r="E14" s="57" t="s">
        <v>2490</v>
      </c>
      <c r="F14" s="57">
        <v>313.97800000000001</v>
      </c>
      <c r="G14" s="57">
        <v>7.2477999999999998</v>
      </c>
      <c r="H14" s="57">
        <v>126.97799999999999</v>
      </c>
      <c r="I14" s="57">
        <v>160.9794</v>
      </c>
      <c r="J14" s="57">
        <v>162.97640000000001</v>
      </c>
      <c r="K14" s="57">
        <v>159.97149999999999</v>
      </c>
      <c r="L14" s="75" t="s">
        <v>3526</v>
      </c>
      <c r="M14" s="75" t="s">
        <v>3526</v>
      </c>
    </row>
    <row r="15" spans="1:16" x14ac:dyDescent="0.2">
      <c r="A15" s="54">
        <v>14</v>
      </c>
      <c r="B15" s="57">
        <v>12</v>
      </c>
      <c r="C15" s="57" t="s">
        <v>2130</v>
      </c>
      <c r="D15" s="59" t="s">
        <v>2131</v>
      </c>
      <c r="E15" s="57" t="s">
        <v>599</v>
      </c>
      <c r="F15" s="57">
        <v>213.0556</v>
      </c>
      <c r="G15" s="57">
        <v>5.6992000000000003</v>
      </c>
      <c r="H15" s="57">
        <v>213.05500000000001</v>
      </c>
      <c r="I15" s="57">
        <v>127.018</v>
      </c>
      <c r="J15" s="57">
        <v>171.0077</v>
      </c>
      <c r="K15" s="57">
        <v>129.01499999999999</v>
      </c>
      <c r="L15" s="75" t="s">
        <v>598</v>
      </c>
      <c r="M15" s="75" t="s">
        <v>598</v>
      </c>
    </row>
    <row r="16" spans="1:16" x14ac:dyDescent="0.2">
      <c r="A16" s="54">
        <v>15</v>
      </c>
      <c r="B16" s="57" t="s">
        <v>1</v>
      </c>
      <c r="C16" s="57" t="s">
        <v>3043</v>
      </c>
      <c r="D16" s="59" t="s">
        <v>1</v>
      </c>
      <c r="E16" s="57" t="s">
        <v>1</v>
      </c>
      <c r="F16" s="57" t="s">
        <v>1</v>
      </c>
      <c r="G16" s="57">
        <v>5.6893000000000002</v>
      </c>
      <c r="H16" s="57">
        <v>213.05500000000001</v>
      </c>
      <c r="I16" s="57">
        <v>127.0183</v>
      </c>
      <c r="J16" s="57">
        <v>171.00810000000001</v>
      </c>
      <c r="K16" s="57">
        <v>129.0153</v>
      </c>
      <c r="L16" s="75">
        <v>0</v>
      </c>
      <c r="M16" s="75" t="s">
        <v>1</v>
      </c>
    </row>
    <row r="17" spans="1:13" x14ac:dyDescent="0.2">
      <c r="A17" s="54">
        <v>16</v>
      </c>
      <c r="B17" s="57">
        <v>13</v>
      </c>
      <c r="C17" s="57" t="s">
        <v>2918</v>
      </c>
      <c r="D17" s="59" t="s">
        <v>2699</v>
      </c>
      <c r="E17" s="57" t="s">
        <v>2700</v>
      </c>
      <c r="F17" s="57">
        <v>247.9837</v>
      </c>
      <c r="G17" s="57">
        <v>5.9457000000000004</v>
      </c>
      <c r="H17" s="57">
        <v>247.98310000000001</v>
      </c>
      <c r="I17" s="57">
        <v>249.9813</v>
      </c>
      <c r="J17" s="57">
        <v>141.06970000000001</v>
      </c>
      <c r="K17" s="57">
        <v>115.05410000000001</v>
      </c>
      <c r="L17" s="75" t="s">
        <v>3516</v>
      </c>
      <c r="M17" s="75" t="s">
        <v>3516</v>
      </c>
    </row>
    <row r="18" spans="1:13" x14ac:dyDescent="0.2">
      <c r="A18" s="54">
        <v>17</v>
      </c>
      <c r="B18" s="57" t="s">
        <v>1</v>
      </c>
      <c r="C18" s="57" t="s">
        <v>2698</v>
      </c>
      <c r="D18" s="59" t="s">
        <v>1</v>
      </c>
      <c r="E18" s="57" t="s">
        <v>1</v>
      </c>
      <c r="F18" s="57" t="s">
        <v>1</v>
      </c>
      <c r="G18" s="57">
        <v>5.9467999999999996</v>
      </c>
      <c r="H18" s="57">
        <v>247.98320000000001</v>
      </c>
      <c r="I18" s="57">
        <v>249.98099999999999</v>
      </c>
      <c r="J18" s="57">
        <v>141.06989999999999</v>
      </c>
      <c r="K18" s="57">
        <v>115.0543</v>
      </c>
      <c r="L18" s="75">
        <v>0</v>
      </c>
      <c r="M18" s="75" t="s">
        <v>1</v>
      </c>
    </row>
    <row r="19" spans="1:13" x14ac:dyDescent="0.2">
      <c r="A19" s="54">
        <v>18</v>
      </c>
      <c r="B19" s="57">
        <v>14</v>
      </c>
      <c r="C19" s="57" t="s">
        <v>2882</v>
      </c>
      <c r="D19" s="59" t="s">
        <v>3292</v>
      </c>
      <c r="E19" s="57" t="s">
        <v>506</v>
      </c>
      <c r="F19" s="57">
        <v>198.1157</v>
      </c>
      <c r="G19" s="57">
        <v>4.2813999999999997</v>
      </c>
      <c r="H19" s="57">
        <v>108.0934</v>
      </c>
      <c r="I19" s="57">
        <v>106.0778</v>
      </c>
      <c r="J19" s="57">
        <v>197.11689999999999</v>
      </c>
      <c r="K19" s="57">
        <v>198.11529999999999</v>
      </c>
      <c r="L19" s="75"/>
      <c r="M19" s="73" t="s">
        <v>3591</v>
      </c>
    </row>
    <row r="20" spans="1:13" x14ac:dyDescent="0.2">
      <c r="A20" s="54">
        <v>19</v>
      </c>
      <c r="B20" s="57">
        <v>15</v>
      </c>
      <c r="C20" s="57" t="s">
        <v>2891</v>
      </c>
      <c r="D20" s="59" t="s">
        <v>2892</v>
      </c>
      <c r="E20" s="57" t="s">
        <v>500</v>
      </c>
      <c r="F20" s="57">
        <v>200.09495999999999</v>
      </c>
      <c r="G20" s="57">
        <v>7.6448</v>
      </c>
      <c r="H20" s="57">
        <v>200.09639999999999</v>
      </c>
      <c r="I20" s="57">
        <v>108.0556</v>
      </c>
      <c r="J20" s="57">
        <v>171.05719999999999</v>
      </c>
      <c r="K20" s="57">
        <v>170.0575</v>
      </c>
      <c r="L20" s="75" t="s">
        <v>499</v>
      </c>
      <c r="M20" s="75" t="s">
        <v>499</v>
      </c>
    </row>
    <row r="21" spans="1:13" x14ac:dyDescent="0.2">
      <c r="A21" s="54">
        <v>20</v>
      </c>
      <c r="B21" s="57">
        <v>16</v>
      </c>
      <c r="C21" s="57" t="s">
        <v>3072</v>
      </c>
      <c r="D21" s="59" t="s">
        <v>1279</v>
      </c>
      <c r="E21" s="57" t="s">
        <v>642</v>
      </c>
      <c r="F21" s="57">
        <v>541.13239999999996</v>
      </c>
      <c r="G21" s="57">
        <v>15.314500000000001</v>
      </c>
      <c r="H21" s="57">
        <v>181.06479999999999</v>
      </c>
      <c r="I21" s="57">
        <v>180.08070000000001</v>
      </c>
      <c r="J21" s="57">
        <v>178.06530000000001</v>
      </c>
      <c r="K21" s="57">
        <v>541.13310000000001</v>
      </c>
      <c r="L21" s="75" t="s">
        <v>641</v>
      </c>
      <c r="M21" s="75" t="s">
        <v>641</v>
      </c>
    </row>
    <row r="22" spans="1:13" x14ac:dyDescent="0.2">
      <c r="A22" s="54">
        <v>21</v>
      </c>
      <c r="B22" s="57">
        <v>17</v>
      </c>
      <c r="C22" s="57" t="s">
        <v>3057</v>
      </c>
      <c r="D22" s="59" t="s">
        <v>3058</v>
      </c>
      <c r="E22" s="57" t="s">
        <v>809</v>
      </c>
      <c r="F22" s="57">
        <v>213.10480000000001</v>
      </c>
      <c r="G22" s="57">
        <v>7.5145</v>
      </c>
      <c r="H22" s="57">
        <v>213.10419999999999</v>
      </c>
      <c r="I22" s="57">
        <v>155.03870000000001</v>
      </c>
      <c r="J22" s="57">
        <v>170.04929999999999</v>
      </c>
      <c r="K22" s="57">
        <v>185.07310000000001</v>
      </c>
      <c r="L22" s="75" t="s">
        <v>808</v>
      </c>
      <c r="M22" s="75" t="s">
        <v>808</v>
      </c>
    </row>
    <row r="23" spans="1:13" x14ac:dyDescent="0.2">
      <c r="A23" s="54">
        <v>22</v>
      </c>
      <c r="B23" s="57">
        <v>18</v>
      </c>
      <c r="C23" s="57" t="s">
        <v>1765</v>
      </c>
      <c r="D23" s="59" t="s">
        <v>1766</v>
      </c>
      <c r="E23" s="57" t="s">
        <v>1767</v>
      </c>
      <c r="F23" s="57">
        <v>385.81599999999997</v>
      </c>
      <c r="G23" s="57">
        <v>8.7148000000000003</v>
      </c>
      <c r="H23" s="57">
        <v>352.84410000000003</v>
      </c>
      <c r="I23" s="57">
        <v>354.84089999999998</v>
      </c>
      <c r="J23" s="57">
        <v>350.84690000000001</v>
      </c>
      <c r="K23" s="57">
        <v>249.84870000000001</v>
      </c>
      <c r="L23" s="75" t="s">
        <v>3465</v>
      </c>
      <c r="M23" s="75" t="s">
        <v>3465</v>
      </c>
    </row>
    <row r="24" spans="1:13" x14ac:dyDescent="0.2">
      <c r="A24" s="54">
        <v>23</v>
      </c>
      <c r="B24" s="57" t="s">
        <v>1</v>
      </c>
      <c r="C24" s="57" t="s">
        <v>1924</v>
      </c>
      <c r="D24" s="59" t="s">
        <v>1</v>
      </c>
      <c r="E24" s="57" t="s">
        <v>1</v>
      </c>
      <c r="F24" s="57" t="s">
        <v>1</v>
      </c>
      <c r="G24" s="57">
        <v>8.7011000000000003</v>
      </c>
      <c r="H24" s="57">
        <v>385.81540000000001</v>
      </c>
      <c r="I24" s="57">
        <v>352.84410000000003</v>
      </c>
      <c r="J24" s="57">
        <v>354.84089999999998</v>
      </c>
      <c r="K24" s="57">
        <v>350.84690000000001</v>
      </c>
      <c r="L24" s="75">
        <v>0</v>
      </c>
      <c r="M24" s="75" t="s">
        <v>1</v>
      </c>
    </row>
    <row r="25" spans="1:13" x14ac:dyDescent="0.2">
      <c r="A25" s="54">
        <v>24</v>
      </c>
      <c r="B25" s="57">
        <v>19</v>
      </c>
      <c r="C25" s="57" t="s">
        <v>3096</v>
      </c>
      <c r="D25" s="59" t="s">
        <v>3095</v>
      </c>
      <c r="E25" s="57" t="s">
        <v>648</v>
      </c>
      <c r="F25" s="57">
        <v>502.12709999999998</v>
      </c>
      <c r="G25" s="57">
        <v>18.485299999999999</v>
      </c>
      <c r="H25" s="57">
        <v>502.1268</v>
      </c>
      <c r="I25" s="57">
        <v>250.0609</v>
      </c>
      <c r="J25" s="57">
        <v>252.05779999999999</v>
      </c>
      <c r="K25" s="57">
        <v>181.06469999999999</v>
      </c>
      <c r="L25" s="75" t="s">
        <v>647</v>
      </c>
      <c r="M25" s="75" t="s">
        <v>647</v>
      </c>
    </row>
    <row r="26" spans="1:13" x14ac:dyDescent="0.2">
      <c r="A26" s="54">
        <v>25</v>
      </c>
      <c r="B26" s="57" t="s">
        <v>1</v>
      </c>
      <c r="C26" s="57" t="s">
        <v>3094</v>
      </c>
      <c r="D26" s="59" t="s">
        <v>1</v>
      </c>
      <c r="E26" s="57" t="s">
        <v>1</v>
      </c>
      <c r="F26" s="57" t="s">
        <v>1</v>
      </c>
      <c r="G26" s="57">
        <v>18.401299999999999</v>
      </c>
      <c r="H26" s="57">
        <v>502.1266</v>
      </c>
      <c r="I26" s="57">
        <v>250.0609</v>
      </c>
      <c r="J26" s="57">
        <v>252.05789999999999</v>
      </c>
      <c r="K26" s="57">
        <v>181.06469999999999</v>
      </c>
      <c r="L26" s="75">
        <v>0</v>
      </c>
      <c r="M26" s="75" t="s">
        <v>1</v>
      </c>
    </row>
    <row r="27" spans="1:13" x14ac:dyDescent="0.2">
      <c r="A27" s="54">
        <v>26</v>
      </c>
      <c r="B27" s="57">
        <v>20</v>
      </c>
      <c r="C27" s="57" t="s">
        <v>1886</v>
      </c>
      <c r="D27" s="59" t="s">
        <v>1887</v>
      </c>
      <c r="E27" s="57" t="s">
        <v>1888</v>
      </c>
      <c r="F27" s="57">
        <v>267.988</v>
      </c>
      <c r="G27" s="57">
        <v>9.2470999999999997</v>
      </c>
      <c r="H27" s="57">
        <v>267.98739999999998</v>
      </c>
      <c r="I27" s="57">
        <v>125.015</v>
      </c>
      <c r="J27" s="57">
        <v>127.012</v>
      </c>
      <c r="K27" s="57">
        <v>126.0183</v>
      </c>
      <c r="L27" s="75" t="s">
        <v>3394</v>
      </c>
      <c r="M27" s="75" t="s">
        <v>3394</v>
      </c>
    </row>
    <row r="28" spans="1:13" x14ac:dyDescent="0.2">
      <c r="A28" s="54">
        <v>27</v>
      </c>
      <c r="B28" s="57">
        <v>21</v>
      </c>
      <c r="C28" s="57" t="s">
        <v>2244</v>
      </c>
      <c r="D28" s="59" t="s">
        <v>1125</v>
      </c>
      <c r="E28" s="57" t="s">
        <v>360</v>
      </c>
      <c r="F28" s="57">
        <v>182.084</v>
      </c>
      <c r="G28" s="57">
        <v>5.57</v>
      </c>
      <c r="H28" s="57">
        <v>182.084</v>
      </c>
      <c r="I28" s="57">
        <v>105.0448</v>
      </c>
      <c r="J28" s="57">
        <v>152.06229999999999</v>
      </c>
      <c r="K28" s="57">
        <v>153.0702</v>
      </c>
      <c r="L28" s="75" t="s">
        <v>359</v>
      </c>
      <c r="M28" s="75" t="s">
        <v>359</v>
      </c>
    </row>
    <row r="29" spans="1:13" x14ac:dyDescent="0.2">
      <c r="A29" s="54">
        <v>28</v>
      </c>
      <c r="B29" s="57" t="s">
        <v>1</v>
      </c>
      <c r="C29" s="57" t="s">
        <v>2906</v>
      </c>
      <c r="D29" s="59" t="s">
        <v>1</v>
      </c>
      <c r="E29" s="57" t="s">
        <v>1</v>
      </c>
      <c r="F29" s="57" t="s">
        <v>1</v>
      </c>
      <c r="G29" s="57">
        <v>5.5602999999999998</v>
      </c>
      <c r="H29" s="57">
        <v>182.0838</v>
      </c>
      <c r="I29" s="57">
        <v>105.04470000000001</v>
      </c>
      <c r="J29" s="57">
        <v>152.06200000000001</v>
      </c>
      <c r="K29" s="57">
        <v>183.0872</v>
      </c>
      <c r="L29" s="75">
        <v>0</v>
      </c>
      <c r="M29" s="75" t="s">
        <v>1</v>
      </c>
    </row>
    <row r="30" spans="1:13" x14ac:dyDescent="0.2">
      <c r="A30" s="54">
        <v>29</v>
      </c>
      <c r="B30" s="57">
        <v>22</v>
      </c>
      <c r="C30" s="57" t="s">
        <v>2973</v>
      </c>
      <c r="D30" s="59" t="s">
        <v>2974</v>
      </c>
      <c r="E30" s="57" t="s">
        <v>89</v>
      </c>
      <c r="F30" s="57">
        <v>176.08369999999999</v>
      </c>
      <c r="G30" s="57">
        <v>4.6089000000000002</v>
      </c>
      <c r="H30" s="57">
        <v>176.08330000000001</v>
      </c>
      <c r="I30" s="57">
        <v>115.0545</v>
      </c>
      <c r="J30" s="57">
        <v>133.0652</v>
      </c>
      <c r="K30" s="57">
        <v>116.0622</v>
      </c>
      <c r="L30" s="75" t="s">
        <v>88</v>
      </c>
      <c r="M30" s="75" t="s">
        <v>88</v>
      </c>
    </row>
    <row r="31" spans="1:13" x14ac:dyDescent="0.2">
      <c r="A31" s="54">
        <v>30</v>
      </c>
      <c r="B31" s="57">
        <v>23</v>
      </c>
      <c r="C31" s="57" t="s">
        <v>2615</v>
      </c>
      <c r="D31" s="59" t="s">
        <v>2616</v>
      </c>
      <c r="E31" s="57" t="s">
        <v>2617</v>
      </c>
      <c r="F31" s="57">
        <v>120.0939</v>
      </c>
      <c r="G31" s="57">
        <v>17.5443</v>
      </c>
      <c r="H31" s="57">
        <v>120.0934</v>
      </c>
      <c r="I31" s="57">
        <v>105.0699</v>
      </c>
      <c r="J31" s="57">
        <v>106.0778</v>
      </c>
      <c r="K31" s="57">
        <v>119.0857</v>
      </c>
      <c r="L31" s="75" t="s">
        <v>203</v>
      </c>
      <c r="M31" s="75" t="s">
        <v>203</v>
      </c>
    </row>
    <row r="32" spans="1:13" x14ac:dyDescent="0.2">
      <c r="A32" s="54">
        <v>31</v>
      </c>
      <c r="B32" s="57">
        <v>24</v>
      </c>
      <c r="C32" s="57" t="s">
        <v>1915</v>
      </c>
      <c r="D32" s="59" t="s">
        <v>1751</v>
      </c>
      <c r="E32" s="57" t="s">
        <v>1752</v>
      </c>
      <c r="F32" s="57">
        <v>419.81180000000001</v>
      </c>
      <c r="G32" s="57">
        <v>11.7326</v>
      </c>
      <c r="H32" s="57">
        <v>226.89850000000001</v>
      </c>
      <c r="I32" s="57">
        <v>228.89570000000001</v>
      </c>
      <c r="J32" s="57">
        <v>271.80990000000003</v>
      </c>
      <c r="K32" s="57">
        <v>240.89580000000001</v>
      </c>
      <c r="L32" s="75" t="s">
        <v>3521</v>
      </c>
      <c r="M32" s="75" t="s">
        <v>3521</v>
      </c>
    </row>
    <row r="33" spans="1:13" x14ac:dyDescent="0.2">
      <c r="A33" s="54">
        <v>32</v>
      </c>
      <c r="B33" s="57" t="s">
        <v>1</v>
      </c>
      <c r="C33" s="57" t="s">
        <v>1750</v>
      </c>
      <c r="D33" s="59" t="s">
        <v>1</v>
      </c>
      <c r="E33" s="57" t="s">
        <v>1</v>
      </c>
      <c r="F33" s="57" t="s">
        <v>1</v>
      </c>
      <c r="G33" s="57">
        <v>11.7143</v>
      </c>
      <c r="H33" s="57">
        <v>421.8082</v>
      </c>
      <c r="I33" s="57">
        <v>386.8399</v>
      </c>
      <c r="J33" s="57">
        <v>271.81009999999998</v>
      </c>
      <c r="K33" s="57">
        <v>419.81119999999999</v>
      </c>
      <c r="L33" s="75">
        <v>0</v>
      </c>
      <c r="M33" s="75" t="s">
        <v>1</v>
      </c>
    </row>
    <row r="34" spans="1:13" x14ac:dyDescent="0.2">
      <c r="A34" s="54">
        <v>33</v>
      </c>
      <c r="B34" s="57">
        <v>25</v>
      </c>
      <c r="C34" s="57" t="s">
        <v>2347</v>
      </c>
      <c r="D34" s="59" t="s">
        <v>1454</v>
      </c>
      <c r="E34" s="57" t="s">
        <v>153</v>
      </c>
      <c r="F34" s="57">
        <v>220.18270000000001</v>
      </c>
      <c r="G34" s="57">
        <v>4.8997000000000002</v>
      </c>
      <c r="H34" s="57">
        <v>220.18209999999999</v>
      </c>
      <c r="I34" s="57">
        <v>135.0805</v>
      </c>
      <c r="J34" s="57">
        <v>107.0492</v>
      </c>
      <c r="K34" s="57">
        <v>163.11170000000001</v>
      </c>
      <c r="L34" s="75" t="s">
        <v>152</v>
      </c>
      <c r="M34" s="75" t="s">
        <v>152</v>
      </c>
    </row>
    <row r="35" spans="1:13" x14ac:dyDescent="0.2">
      <c r="A35" s="54">
        <v>34</v>
      </c>
      <c r="B35" s="57">
        <v>26</v>
      </c>
      <c r="C35" s="57" t="s">
        <v>2549</v>
      </c>
      <c r="D35" s="59" t="s">
        <v>2550</v>
      </c>
      <c r="E35" s="57" t="s">
        <v>195</v>
      </c>
      <c r="F35" s="57">
        <v>134.1096</v>
      </c>
      <c r="G35" s="57">
        <v>4.9042000000000003</v>
      </c>
      <c r="H35" s="57">
        <v>134.10910000000001</v>
      </c>
      <c r="I35" s="57">
        <v>119.08540000000001</v>
      </c>
      <c r="J35" s="57">
        <v>133.1011</v>
      </c>
      <c r="K35" s="57">
        <v>103.0637</v>
      </c>
      <c r="L35" s="75" t="s">
        <v>194</v>
      </c>
      <c r="M35" s="75" t="s">
        <v>194</v>
      </c>
    </row>
    <row r="36" spans="1:13" x14ac:dyDescent="0.2">
      <c r="A36" s="54">
        <v>35</v>
      </c>
      <c r="B36" s="57">
        <v>27</v>
      </c>
      <c r="C36" s="57" t="s">
        <v>2975</v>
      </c>
      <c r="D36" s="59" t="s">
        <v>2976</v>
      </c>
      <c r="E36" s="57" t="s">
        <v>121</v>
      </c>
      <c r="F36" s="57">
        <v>134.07316</v>
      </c>
      <c r="G36" s="57">
        <v>4.7466999999999997</v>
      </c>
      <c r="H36" s="57">
        <v>134.07259999999999</v>
      </c>
      <c r="I36" s="57">
        <v>105.0702</v>
      </c>
      <c r="J36" s="57">
        <v>117.0702</v>
      </c>
      <c r="K36" s="57">
        <v>135.0763</v>
      </c>
      <c r="L36" s="75" t="s">
        <v>120</v>
      </c>
      <c r="M36" s="75" t="s">
        <v>120</v>
      </c>
    </row>
    <row r="37" spans="1:13" x14ac:dyDescent="0.2">
      <c r="A37" s="54">
        <v>36</v>
      </c>
      <c r="B37" s="57">
        <v>28</v>
      </c>
      <c r="C37" s="57" t="s">
        <v>3103</v>
      </c>
      <c r="D37" s="59" t="s">
        <v>3104</v>
      </c>
      <c r="E37" s="57" t="s">
        <v>718</v>
      </c>
      <c r="F37" s="57">
        <v>338.18819999999999</v>
      </c>
      <c r="G37" s="57">
        <v>12.765599999999999</v>
      </c>
      <c r="H37" s="57">
        <v>338.18770000000001</v>
      </c>
      <c r="I37" s="57">
        <v>123.1169</v>
      </c>
      <c r="J37" s="57">
        <v>171.0804</v>
      </c>
      <c r="K37" s="57">
        <v>128.06209999999999</v>
      </c>
      <c r="L37" s="75" t="s">
        <v>717</v>
      </c>
      <c r="M37" s="75" t="s">
        <v>717</v>
      </c>
    </row>
    <row r="38" spans="1:13" x14ac:dyDescent="0.2">
      <c r="A38" s="54">
        <v>37</v>
      </c>
      <c r="B38" s="57">
        <v>29</v>
      </c>
      <c r="C38" s="57" t="s">
        <v>2771</v>
      </c>
      <c r="D38" s="59" t="s">
        <v>2772</v>
      </c>
      <c r="E38" s="57" t="s">
        <v>87</v>
      </c>
      <c r="F38" s="57">
        <v>102.0681</v>
      </c>
      <c r="G38" s="57">
        <v>3.3426</v>
      </c>
      <c r="H38" s="57">
        <v>102.0676</v>
      </c>
      <c r="I38" s="57">
        <v>103.071</v>
      </c>
      <c r="J38" s="57">
        <v>104.0719</v>
      </c>
      <c r="K38" s="57">
        <v>101.0598</v>
      </c>
      <c r="L38" s="75" t="s">
        <v>86</v>
      </c>
      <c r="M38" s="75" t="s">
        <v>86</v>
      </c>
    </row>
    <row r="39" spans="1:13" x14ac:dyDescent="0.2">
      <c r="A39" s="54">
        <v>38</v>
      </c>
      <c r="B39" s="57">
        <v>30</v>
      </c>
      <c r="C39" s="57" t="s">
        <v>2773</v>
      </c>
      <c r="D39" s="59" t="s">
        <v>1170</v>
      </c>
      <c r="E39" s="57" t="s">
        <v>116</v>
      </c>
      <c r="F39" s="57">
        <v>116.08369999999999</v>
      </c>
      <c r="G39" s="57">
        <v>7.9785000000000004</v>
      </c>
      <c r="H39" s="57">
        <v>116.08320000000001</v>
      </c>
      <c r="I39" s="57">
        <v>88.051900000000003</v>
      </c>
      <c r="J39" s="57">
        <v>89.059700000000007</v>
      </c>
      <c r="K39" s="57">
        <v>101.0598</v>
      </c>
      <c r="L39" s="75" t="s">
        <v>114</v>
      </c>
      <c r="M39" s="75" t="s">
        <v>114</v>
      </c>
    </row>
    <row r="40" spans="1:13" x14ac:dyDescent="0.2">
      <c r="A40" s="54">
        <v>39</v>
      </c>
      <c r="B40" s="57" t="s">
        <v>1</v>
      </c>
      <c r="C40" s="57" t="s">
        <v>2977</v>
      </c>
      <c r="D40" s="59" t="s">
        <v>1</v>
      </c>
      <c r="E40" s="57" t="s">
        <v>1</v>
      </c>
      <c r="F40" s="57" t="s">
        <v>1</v>
      </c>
      <c r="G40" s="57">
        <v>7.9859</v>
      </c>
      <c r="H40" s="57">
        <v>116.08329999999999</v>
      </c>
      <c r="I40" s="57">
        <v>88.047499999999999</v>
      </c>
      <c r="J40" s="57">
        <v>117.08629999999999</v>
      </c>
      <c r="K40" s="57">
        <v>115.0754</v>
      </c>
      <c r="L40" s="75">
        <v>0</v>
      </c>
      <c r="M40" s="75" t="s">
        <v>1</v>
      </c>
    </row>
    <row r="41" spans="1:13" x14ac:dyDescent="0.2">
      <c r="A41" s="54">
        <v>40</v>
      </c>
      <c r="B41" s="57">
        <v>31</v>
      </c>
      <c r="C41" s="57" t="s">
        <v>2931</v>
      </c>
      <c r="D41" s="59" t="s">
        <v>1032</v>
      </c>
      <c r="E41" s="57" t="s">
        <v>565</v>
      </c>
      <c r="F41" s="57">
        <v>122.0732</v>
      </c>
      <c r="G41" s="57">
        <v>9.7250999999999994</v>
      </c>
      <c r="H41" s="57">
        <v>122.0722</v>
      </c>
      <c r="I41" s="57">
        <v>123.07599999999999</v>
      </c>
      <c r="J41" s="57">
        <v>105.03360000000001</v>
      </c>
      <c r="K41" s="57">
        <v>106.0369</v>
      </c>
      <c r="L41" s="75" t="s">
        <v>3601</v>
      </c>
      <c r="M41" s="75" t="s">
        <v>3601</v>
      </c>
    </row>
    <row r="42" spans="1:13" x14ac:dyDescent="0.2">
      <c r="A42" s="54">
        <v>41</v>
      </c>
      <c r="B42" s="57" t="s">
        <v>1</v>
      </c>
      <c r="C42" s="57" t="s">
        <v>2324</v>
      </c>
      <c r="D42" s="59" t="s">
        <v>1</v>
      </c>
      <c r="E42" s="57" t="s">
        <v>1</v>
      </c>
      <c r="F42" s="57" t="s">
        <v>1</v>
      </c>
      <c r="G42" s="57">
        <v>9.7139000000000006</v>
      </c>
      <c r="H42" s="57">
        <v>122.07259999999999</v>
      </c>
      <c r="I42" s="57">
        <v>123.0761</v>
      </c>
      <c r="J42" s="57">
        <v>121.06480000000001</v>
      </c>
      <c r="K42" s="57">
        <v>124.08410000000001</v>
      </c>
      <c r="L42" s="75">
        <v>0</v>
      </c>
      <c r="M42" s="75" t="s">
        <v>1</v>
      </c>
    </row>
    <row r="43" spans="1:13" x14ac:dyDescent="0.2">
      <c r="A43" s="54">
        <v>42</v>
      </c>
      <c r="B43" s="57">
        <v>32</v>
      </c>
      <c r="C43" s="57" t="s">
        <v>2856</v>
      </c>
      <c r="D43" s="59" t="s">
        <v>3251</v>
      </c>
      <c r="E43" s="57" t="s">
        <v>581</v>
      </c>
      <c r="F43" s="57">
        <v>88.063699999999997</v>
      </c>
      <c r="G43" s="57">
        <v>4.1208999999999998</v>
      </c>
      <c r="H43" s="57">
        <v>88.064499999999995</v>
      </c>
      <c r="I43" s="57">
        <v>86.060100000000006</v>
      </c>
      <c r="J43" s="57">
        <v>104.05289999999999</v>
      </c>
      <c r="K43" s="57">
        <v>89.042000000000002</v>
      </c>
      <c r="L43" s="75" t="s">
        <v>580</v>
      </c>
      <c r="M43" s="75" t="s">
        <v>580</v>
      </c>
    </row>
    <row r="44" spans="1:13" x14ac:dyDescent="0.2">
      <c r="A44" s="54">
        <v>43</v>
      </c>
      <c r="B44" s="57">
        <v>33</v>
      </c>
      <c r="C44" s="57" t="s">
        <v>2978</v>
      </c>
      <c r="D44" s="59" t="s">
        <v>2979</v>
      </c>
      <c r="E44" s="57" t="s">
        <v>101</v>
      </c>
      <c r="F44" s="57">
        <v>154.13576</v>
      </c>
      <c r="G44" s="57">
        <v>5.1393000000000004</v>
      </c>
      <c r="H44" s="57">
        <v>154.1352</v>
      </c>
      <c r="I44" s="57">
        <v>155.13849999999999</v>
      </c>
      <c r="J44" s="57">
        <v>121.10120000000001</v>
      </c>
      <c r="K44" s="57">
        <v>93.069900000000004</v>
      </c>
      <c r="L44" s="75" t="s">
        <v>73</v>
      </c>
      <c r="M44" s="75" t="s">
        <v>73</v>
      </c>
    </row>
    <row r="45" spans="1:13" x14ac:dyDescent="0.2">
      <c r="A45" s="54">
        <v>44</v>
      </c>
      <c r="B45" s="57">
        <v>34</v>
      </c>
      <c r="C45" s="57" t="s">
        <v>2778</v>
      </c>
      <c r="D45" s="59" t="s">
        <v>1177</v>
      </c>
      <c r="E45" s="57" t="s">
        <v>91</v>
      </c>
      <c r="F45" s="57">
        <v>158.13069999999999</v>
      </c>
      <c r="G45" s="57">
        <v>7.9785000000000004</v>
      </c>
      <c r="H45" s="57">
        <v>158.12979999999999</v>
      </c>
      <c r="I45" s="57">
        <v>88.051699999999997</v>
      </c>
      <c r="J45" s="57">
        <v>113.0959</v>
      </c>
      <c r="K45" s="57">
        <v>101.0596</v>
      </c>
      <c r="L45" s="75" t="s">
        <v>90</v>
      </c>
      <c r="M45" s="75" t="s">
        <v>90</v>
      </c>
    </row>
    <row r="46" spans="1:13" x14ac:dyDescent="0.2">
      <c r="A46" s="54">
        <v>45</v>
      </c>
      <c r="B46" s="57" t="s">
        <v>1</v>
      </c>
      <c r="C46" s="57" t="s">
        <v>2779</v>
      </c>
      <c r="D46" s="59" t="s">
        <v>1</v>
      </c>
      <c r="E46" s="57" t="s">
        <v>1</v>
      </c>
      <c r="F46" s="57" t="s">
        <v>1</v>
      </c>
      <c r="G46" s="57">
        <v>10.0181</v>
      </c>
      <c r="H46" s="57">
        <v>158.12979999999999</v>
      </c>
      <c r="I46" s="57">
        <v>88.051699999999997</v>
      </c>
      <c r="J46" s="57">
        <v>113.0959</v>
      </c>
      <c r="K46" s="57">
        <v>101.0596</v>
      </c>
      <c r="L46" s="75">
        <v>0</v>
      </c>
      <c r="M46" s="75" t="s">
        <v>1</v>
      </c>
    </row>
    <row r="47" spans="1:13" x14ac:dyDescent="0.2">
      <c r="A47" s="54">
        <v>46</v>
      </c>
      <c r="B47" s="57">
        <v>35</v>
      </c>
      <c r="C47" s="57" t="s">
        <v>2780</v>
      </c>
      <c r="D47" s="59" t="s">
        <v>2781</v>
      </c>
      <c r="E47" s="57" t="s">
        <v>108</v>
      </c>
      <c r="F47" s="57">
        <v>172.1463</v>
      </c>
      <c r="G47" s="57">
        <v>3.1661999999999999</v>
      </c>
      <c r="H47" s="57">
        <v>172.14580000000001</v>
      </c>
      <c r="I47" s="57">
        <v>88.051900000000003</v>
      </c>
      <c r="J47" s="57">
        <v>87.043999999999997</v>
      </c>
      <c r="K47" s="57">
        <v>171.1378</v>
      </c>
      <c r="L47" s="75" t="s">
        <v>94</v>
      </c>
      <c r="M47" s="75" t="s">
        <v>94</v>
      </c>
    </row>
    <row r="48" spans="1:13" x14ac:dyDescent="0.2">
      <c r="A48" s="54">
        <v>47</v>
      </c>
      <c r="B48" s="57" t="s">
        <v>1</v>
      </c>
      <c r="C48" s="57" t="s">
        <v>2782</v>
      </c>
      <c r="D48" s="59" t="s">
        <v>1</v>
      </c>
      <c r="E48" s="57" t="s">
        <v>1</v>
      </c>
      <c r="F48" s="57" t="s">
        <v>1</v>
      </c>
      <c r="G48" s="57">
        <v>5.3207000000000004</v>
      </c>
      <c r="H48" s="57">
        <v>172.14580000000001</v>
      </c>
      <c r="I48" s="57">
        <v>88.051900000000003</v>
      </c>
      <c r="J48" s="57">
        <v>87.043999999999997</v>
      </c>
      <c r="K48" s="57">
        <v>171.1378</v>
      </c>
      <c r="L48" s="75">
        <v>0</v>
      </c>
      <c r="M48" s="75" t="s">
        <v>1</v>
      </c>
    </row>
    <row r="49" spans="1:13" x14ac:dyDescent="0.2">
      <c r="A49" s="54">
        <v>48</v>
      </c>
      <c r="B49" s="57">
        <v>36</v>
      </c>
      <c r="C49" s="57" t="s">
        <v>2789</v>
      </c>
      <c r="D49" s="59" t="s">
        <v>2790</v>
      </c>
      <c r="E49" s="57" t="s">
        <v>103</v>
      </c>
      <c r="F49" s="57">
        <v>228.2089</v>
      </c>
      <c r="G49" s="57">
        <v>5.3207000000000004</v>
      </c>
      <c r="H49" s="57">
        <v>228.20849999999999</v>
      </c>
      <c r="I49" s="57">
        <v>115.07510000000001</v>
      </c>
      <c r="J49" s="57">
        <v>87.043899999999994</v>
      </c>
      <c r="K49" s="57">
        <v>129.0907</v>
      </c>
      <c r="L49" s="75" t="s">
        <v>102</v>
      </c>
      <c r="M49" s="75" t="s">
        <v>102</v>
      </c>
    </row>
    <row r="50" spans="1:13" x14ac:dyDescent="0.2">
      <c r="A50" s="54">
        <v>49</v>
      </c>
      <c r="B50" s="57">
        <v>37</v>
      </c>
      <c r="C50" s="57" t="s">
        <v>2656</v>
      </c>
      <c r="D50" s="59" t="s">
        <v>2657</v>
      </c>
      <c r="E50" s="57" t="s">
        <v>2658</v>
      </c>
      <c r="F50" s="57">
        <v>106.0783</v>
      </c>
      <c r="G50" s="57">
        <v>17.847000000000001</v>
      </c>
      <c r="H50" s="57">
        <v>106.0778</v>
      </c>
      <c r="I50" s="57">
        <v>91.054199999999994</v>
      </c>
      <c r="J50" s="57">
        <v>105.0699</v>
      </c>
      <c r="K50" s="57">
        <v>93.07</v>
      </c>
      <c r="L50" s="75"/>
      <c r="M50" s="73" t="s">
        <v>3596</v>
      </c>
    </row>
    <row r="51" spans="1:13" ht="25" x14ac:dyDescent="0.2">
      <c r="A51" s="54">
        <v>50</v>
      </c>
      <c r="B51" s="57">
        <v>38</v>
      </c>
      <c r="C51" s="57" t="s">
        <v>2564</v>
      </c>
      <c r="D51" s="59" t="s">
        <v>2565</v>
      </c>
      <c r="E51" s="57" t="s">
        <v>197</v>
      </c>
      <c r="F51" s="57">
        <v>126.0236</v>
      </c>
      <c r="G51" s="57">
        <v>4.1410999999999998</v>
      </c>
      <c r="H51" s="57">
        <v>126.0232</v>
      </c>
      <c r="I51" s="57">
        <v>128.01580000000001</v>
      </c>
      <c r="J51" s="57">
        <v>125.0155</v>
      </c>
      <c r="K51" s="57">
        <v>124.0077</v>
      </c>
      <c r="L51" s="75"/>
      <c r="M51" s="74" t="s">
        <v>3639</v>
      </c>
    </row>
    <row r="52" spans="1:13" x14ac:dyDescent="0.2">
      <c r="A52" s="54">
        <v>51</v>
      </c>
      <c r="B52" s="57">
        <v>39</v>
      </c>
      <c r="C52" s="57" t="s">
        <v>2951</v>
      </c>
      <c r="D52" s="59" t="s">
        <v>3144</v>
      </c>
      <c r="E52" s="57" t="s">
        <v>574</v>
      </c>
      <c r="F52" s="57">
        <v>108.0575</v>
      </c>
      <c r="G52" s="57">
        <v>9.7340999999999998</v>
      </c>
      <c r="H52" s="57">
        <v>108.057</v>
      </c>
      <c r="I52" s="57">
        <v>109.06480000000001</v>
      </c>
      <c r="J52" s="57">
        <v>122.06829999999999</v>
      </c>
      <c r="K52" s="57">
        <v>106.0415</v>
      </c>
      <c r="L52" s="75" t="s">
        <v>3598</v>
      </c>
      <c r="M52" s="75" t="s">
        <v>3598</v>
      </c>
    </row>
    <row r="53" spans="1:13" x14ac:dyDescent="0.2">
      <c r="A53" s="54">
        <v>52</v>
      </c>
      <c r="B53" s="57" t="s">
        <v>1</v>
      </c>
      <c r="C53" s="57" t="s">
        <v>2275</v>
      </c>
      <c r="D53" s="59" t="s">
        <v>1</v>
      </c>
      <c r="E53" s="57" t="s">
        <v>1</v>
      </c>
      <c r="F53" s="57" t="s">
        <v>1</v>
      </c>
      <c r="G53" s="57">
        <v>4.8974000000000002</v>
      </c>
      <c r="H53" s="57">
        <v>107.0856</v>
      </c>
      <c r="I53" s="57">
        <v>109.06489999999999</v>
      </c>
      <c r="J53" s="57">
        <v>105.07</v>
      </c>
      <c r="K53" s="57">
        <v>108.057</v>
      </c>
      <c r="L53" s="75">
        <v>0</v>
      </c>
      <c r="M53" s="75" t="s">
        <v>1</v>
      </c>
    </row>
    <row r="54" spans="1:13" x14ac:dyDescent="0.2">
      <c r="A54" s="54">
        <v>53</v>
      </c>
      <c r="B54" s="57">
        <v>40</v>
      </c>
      <c r="C54" s="57" t="s">
        <v>2253</v>
      </c>
      <c r="D54" s="59" t="s">
        <v>2254</v>
      </c>
      <c r="E54" s="57" t="s">
        <v>2255</v>
      </c>
      <c r="F54" s="57">
        <v>145.96899999999999</v>
      </c>
      <c r="G54" s="57">
        <v>6.7838000000000003</v>
      </c>
      <c r="H54" s="57">
        <v>145.96870000000001</v>
      </c>
      <c r="I54" s="57">
        <v>144.96090000000001</v>
      </c>
      <c r="J54" s="57">
        <v>146.9579</v>
      </c>
      <c r="K54" s="57">
        <v>132.96080000000001</v>
      </c>
      <c r="L54" s="75" t="s">
        <v>491</v>
      </c>
      <c r="M54" s="75" t="s">
        <v>491</v>
      </c>
    </row>
    <row r="55" spans="1:13" ht="25" x14ac:dyDescent="0.2">
      <c r="A55" s="54">
        <v>54</v>
      </c>
      <c r="B55" s="57">
        <v>41</v>
      </c>
      <c r="C55" s="57" t="s">
        <v>2920</v>
      </c>
      <c r="D55" s="59" t="s">
        <v>1118</v>
      </c>
      <c r="E55" s="57" t="s">
        <v>381</v>
      </c>
      <c r="F55" s="57">
        <v>127.0189</v>
      </c>
      <c r="G55" s="57">
        <v>5.6893000000000002</v>
      </c>
      <c r="H55" s="57">
        <v>127.0183</v>
      </c>
      <c r="I55" s="57">
        <v>129.0155</v>
      </c>
      <c r="J55" s="57">
        <v>100.00749999999999</v>
      </c>
      <c r="K55" s="57">
        <v>92.049599999999998</v>
      </c>
      <c r="L55" s="75"/>
      <c r="M55" s="74" t="s">
        <v>3640</v>
      </c>
    </row>
    <row r="56" spans="1:13" x14ac:dyDescent="0.2">
      <c r="A56" s="54">
        <v>55</v>
      </c>
      <c r="B56" s="57" t="s">
        <v>1</v>
      </c>
      <c r="C56" s="57" t="s">
        <v>2282</v>
      </c>
      <c r="D56" s="59" t="s">
        <v>1</v>
      </c>
      <c r="E56" s="57" t="s">
        <v>1</v>
      </c>
      <c r="F56" s="57" t="s">
        <v>1</v>
      </c>
      <c r="G56" s="57">
        <v>5.7013999999999996</v>
      </c>
      <c r="H56" s="57">
        <v>127.0184</v>
      </c>
      <c r="I56" s="57">
        <v>129.0155</v>
      </c>
      <c r="J56" s="57">
        <v>92.049499999999995</v>
      </c>
      <c r="K56" s="57">
        <v>100.00749999999999</v>
      </c>
      <c r="L56" s="75">
        <v>0</v>
      </c>
      <c r="M56" s="75" t="s">
        <v>1</v>
      </c>
    </row>
    <row r="57" spans="1:13" x14ac:dyDescent="0.2">
      <c r="A57" s="54">
        <v>56</v>
      </c>
      <c r="B57" s="57">
        <v>42</v>
      </c>
      <c r="C57" s="57" t="s">
        <v>2813</v>
      </c>
      <c r="D57" s="59" t="s">
        <v>3252</v>
      </c>
      <c r="E57" s="57" t="s">
        <v>369</v>
      </c>
      <c r="F57" s="57">
        <v>108.06870000000001</v>
      </c>
      <c r="G57" s="57">
        <v>6.4911000000000003</v>
      </c>
      <c r="H57" s="57">
        <v>108.0684</v>
      </c>
      <c r="I57" s="57">
        <v>107.06059999999999</v>
      </c>
      <c r="J57" s="57">
        <v>93.044899999999998</v>
      </c>
      <c r="K57" s="57">
        <v>109.065</v>
      </c>
      <c r="L57" s="73"/>
      <c r="M57" s="73" t="s">
        <v>3592</v>
      </c>
    </row>
    <row r="58" spans="1:13" x14ac:dyDescent="0.2">
      <c r="A58" s="54">
        <v>57</v>
      </c>
      <c r="B58" s="57">
        <v>43</v>
      </c>
      <c r="C58" s="57" t="s">
        <v>2571</v>
      </c>
      <c r="D58" s="59" t="s">
        <v>2572</v>
      </c>
      <c r="E58" s="57" t="s">
        <v>2573</v>
      </c>
      <c r="F58" s="57">
        <v>185.86799999999999</v>
      </c>
      <c r="G58" s="57">
        <v>5.9827000000000004</v>
      </c>
      <c r="H58" s="57">
        <v>106.9358</v>
      </c>
      <c r="I58" s="57">
        <v>189.87209999999999</v>
      </c>
      <c r="J58" s="57">
        <v>187.875</v>
      </c>
      <c r="K58" s="57">
        <v>108.9329</v>
      </c>
      <c r="L58" s="75"/>
      <c r="M58" s="75" t="s">
        <v>3603</v>
      </c>
    </row>
    <row r="59" spans="1:13" x14ac:dyDescent="0.2">
      <c r="A59" s="54">
        <v>58</v>
      </c>
      <c r="B59" s="57">
        <v>44</v>
      </c>
      <c r="C59" s="57" t="s">
        <v>2534</v>
      </c>
      <c r="D59" s="59" t="s">
        <v>3253</v>
      </c>
      <c r="E59" s="57" t="s">
        <v>216</v>
      </c>
      <c r="F59" s="57">
        <v>292.16750000000002</v>
      </c>
      <c r="G59" s="57">
        <v>8.5111000000000008</v>
      </c>
      <c r="H59" s="57">
        <v>292.16570000000002</v>
      </c>
      <c r="I59" s="57">
        <v>163.0865</v>
      </c>
      <c r="J59" s="57">
        <v>164.09450000000001</v>
      </c>
      <c r="K59" s="57">
        <v>166.0692</v>
      </c>
      <c r="L59" s="75" t="s">
        <v>215</v>
      </c>
      <c r="M59" s="75" t="s">
        <v>215</v>
      </c>
    </row>
    <row r="60" spans="1:13" x14ac:dyDescent="0.2">
      <c r="A60" s="54">
        <v>59</v>
      </c>
      <c r="B60" s="57">
        <v>45</v>
      </c>
      <c r="C60" s="57" t="s">
        <v>2443</v>
      </c>
      <c r="D60" s="59" t="s">
        <v>2444</v>
      </c>
      <c r="E60" s="57" t="s">
        <v>327</v>
      </c>
      <c r="F60" s="57">
        <v>326.00080000000003</v>
      </c>
      <c r="G60" s="57">
        <v>8.8414000000000001</v>
      </c>
      <c r="H60" s="57">
        <v>326.00080000000003</v>
      </c>
      <c r="I60" s="57">
        <v>99.022900000000007</v>
      </c>
      <c r="J60" s="57">
        <v>156.9607</v>
      </c>
      <c r="K60" s="57">
        <v>157.96850000000001</v>
      </c>
      <c r="L60" s="75" t="s">
        <v>326</v>
      </c>
      <c r="M60" s="75" t="s">
        <v>326</v>
      </c>
    </row>
    <row r="61" spans="1:13" x14ac:dyDescent="0.2">
      <c r="A61" s="54">
        <v>60</v>
      </c>
      <c r="B61" s="57">
        <v>46</v>
      </c>
      <c r="C61" s="57" t="s">
        <v>2580</v>
      </c>
      <c r="D61" s="59" t="s">
        <v>2581</v>
      </c>
      <c r="E61" s="57" t="s">
        <v>2582</v>
      </c>
      <c r="F61" s="57">
        <v>97.968999999999994</v>
      </c>
      <c r="G61" s="57">
        <v>6.0471000000000004</v>
      </c>
      <c r="H61" s="57">
        <v>94.968299999999999</v>
      </c>
      <c r="I61" s="57">
        <v>96.965299999999999</v>
      </c>
      <c r="J61" s="57">
        <v>95.934200000000004</v>
      </c>
      <c r="K61" s="57">
        <v>97.968900000000005</v>
      </c>
      <c r="L61" s="75" t="s">
        <v>3604</v>
      </c>
      <c r="M61" s="75" t="s">
        <v>3604</v>
      </c>
    </row>
    <row r="62" spans="1:13" x14ac:dyDescent="0.2">
      <c r="A62" s="54">
        <v>61</v>
      </c>
      <c r="B62" s="57">
        <v>47</v>
      </c>
      <c r="C62" s="57" t="s">
        <v>2980</v>
      </c>
      <c r="D62" s="59" t="s">
        <v>1191</v>
      </c>
      <c r="E62" s="57" t="s">
        <v>95</v>
      </c>
      <c r="F62" s="57">
        <v>172.1463</v>
      </c>
      <c r="G62" s="57">
        <v>9.8284000000000002</v>
      </c>
      <c r="H62" s="57">
        <v>172.14570000000001</v>
      </c>
      <c r="I62" s="57">
        <v>171.11670000000001</v>
      </c>
      <c r="J62" s="57">
        <v>175.1481</v>
      </c>
      <c r="K62" s="57">
        <v>174.14019999999999</v>
      </c>
      <c r="L62" s="75" t="s">
        <v>94</v>
      </c>
      <c r="M62" s="75" t="s">
        <v>94</v>
      </c>
    </row>
    <row r="63" spans="1:13" x14ac:dyDescent="0.2">
      <c r="A63" s="54">
        <v>62</v>
      </c>
      <c r="B63" s="57">
        <v>48</v>
      </c>
      <c r="C63" s="57" t="s">
        <v>3135</v>
      </c>
      <c r="D63" s="59" t="s">
        <v>3136</v>
      </c>
      <c r="E63" s="57" t="s">
        <v>781</v>
      </c>
      <c r="F63" s="57">
        <v>169.01400000000001</v>
      </c>
      <c r="G63" s="57">
        <v>4.9687999999999999</v>
      </c>
      <c r="H63" s="57">
        <v>154.01349999999999</v>
      </c>
      <c r="I63" s="57">
        <v>107.0128</v>
      </c>
      <c r="J63" s="57">
        <v>184.01150000000001</v>
      </c>
      <c r="K63" s="57">
        <v>91.017899999999997</v>
      </c>
      <c r="L63" s="75" t="s">
        <v>780</v>
      </c>
      <c r="M63" s="75" t="s">
        <v>780</v>
      </c>
    </row>
    <row r="64" spans="1:13" x14ac:dyDescent="0.2">
      <c r="A64" s="54">
        <v>63</v>
      </c>
      <c r="B64" s="57">
        <v>49</v>
      </c>
      <c r="C64" s="57" t="s">
        <v>2105</v>
      </c>
      <c r="D64" s="59" t="s">
        <v>3293</v>
      </c>
      <c r="E64" s="57" t="s">
        <v>981</v>
      </c>
      <c r="F64" s="57">
        <v>307.14510000000001</v>
      </c>
      <c r="G64" s="57">
        <v>17.847000000000001</v>
      </c>
      <c r="H64" s="57">
        <v>125.1327</v>
      </c>
      <c r="I64" s="57">
        <v>250.2654</v>
      </c>
      <c r="J64" s="57">
        <v>151.1482</v>
      </c>
      <c r="K64" s="57">
        <v>165.16380000000001</v>
      </c>
      <c r="L64" s="75" t="s">
        <v>980</v>
      </c>
      <c r="M64" s="75" t="s">
        <v>980</v>
      </c>
    </row>
    <row r="65" spans="1:13" x14ac:dyDescent="0.2">
      <c r="A65" s="54">
        <v>64</v>
      </c>
      <c r="B65" s="57">
        <v>50</v>
      </c>
      <c r="C65" s="57" t="s">
        <v>2653</v>
      </c>
      <c r="D65" s="59" t="s">
        <v>2654</v>
      </c>
      <c r="E65" s="57" t="s">
        <v>2655</v>
      </c>
      <c r="F65" s="57">
        <v>106.0783</v>
      </c>
      <c r="G65" s="57">
        <v>17.546500000000002</v>
      </c>
      <c r="H65" s="57">
        <v>106.0778</v>
      </c>
      <c r="I65" s="57">
        <v>91.054199999999994</v>
      </c>
      <c r="J65" s="57">
        <v>105.0699</v>
      </c>
      <c r="K65" s="57">
        <v>93.07</v>
      </c>
      <c r="L65" s="75" t="s">
        <v>3596</v>
      </c>
      <c r="M65" s="75" t="s">
        <v>3596</v>
      </c>
    </row>
    <row r="66" spans="1:13" x14ac:dyDescent="0.2">
      <c r="A66" s="54">
        <v>65</v>
      </c>
      <c r="B66" s="57">
        <v>51</v>
      </c>
      <c r="C66" s="57" t="s">
        <v>2819</v>
      </c>
      <c r="D66" s="59" t="s">
        <v>2820</v>
      </c>
      <c r="E66" s="57" t="s">
        <v>528</v>
      </c>
      <c r="F66" s="57">
        <v>108.0575</v>
      </c>
      <c r="G66" s="57">
        <v>5.2847999999999997</v>
      </c>
      <c r="H66" s="57">
        <v>107.0856</v>
      </c>
      <c r="I66" s="57">
        <v>109.06489999999999</v>
      </c>
      <c r="J66" s="57">
        <v>105.07</v>
      </c>
      <c r="K66" s="57">
        <v>108.057</v>
      </c>
      <c r="L66" s="75" t="s">
        <v>3598</v>
      </c>
      <c r="M66" s="75" t="s">
        <v>3598</v>
      </c>
    </row>
    <row r="67" spans="1:13" x14ac:dyDescent="0.2">
      <c r="A67" s="54">
        <v>66</v>
      </c>
      <c r="B67" s="57">
        <v>52</v>
      </c>
      <c r="C67" s="57" t="s">
        <v>2916</v>
      </c>
      <c r="D67" s="59" t="s">
        <v>3173</v>
      </c>
      <c r="E67" s="57" t="s">
        <v>166</v>
      </c>
      <c r="F67" s="57">
        <v>170.0265</v>
      </c>
      <c r="G67" s="57">
        <v>6.5279999999999996</v>
      </c>
      <c r="H67" s="57">
        <v>170.02780000000001</v>
      </c>
      <c r="I67" s="57">
        <v>121.02030000000001</v>
      </c>
      <c r="J67" s="57">
        <v>120.0124</v>
      </c>
      <c r="K67" s="57">
        <v>122.0214</v>
      </c>
      <c r="L67" s="75" t="s">
        <v>165</v>
      </c>
      <c r="M67" s="75" t="s">
        <v>165</v>
      </c>
    </row>
    <row r="68" spans="1:13" x14ac:dyDescent="0.2">
      <c r="A68" s="54">
        <v>67</v>
      </c>
      <c r="B68" s="57" t="s">
        <v>1</v>
      </c>
      <c r="C68" s="57" t="s">
        <v>2229</v>
      </c>
      <c r="D68" s="59" t="s">
        <v>1</v>
      </c>
      <c r="E68" s="57" t="s">
        <v>1</v>
      </c>
      <c r="F68" s="57" t="s">
        <v>1</v>
      </c>
      <c r="G68" s="57">
        <v>6.5000999999999998</v>
      </c>
      <c r="H68" s="57">
        <v>170.02680000000001</v>
      </c>
      <c r="I68" s="57">
        <v>169.02359999999999</v>
      </c>
      <c r="J68" s="57">
        <v>121.0341</v>
      </c>
      <c r="K68" s="57">
        <v>171.01949999999999</v>
      </c>
      <c r="L68" s="75">
        <v>0</v>
      </c>
      <c r="M68" s="75" t="s">
        <v>1</v>
      </c>
    </row>
    <row r="69" spans="1:13" x14ac:dyDescent="0.2">
      <c r="A69" s="54">
        <v>68</v>
      </c>
      <c r="B69" s="57">
        <v>53</v>
      </c>
      <c r="C69" s="57" t="s">
        <v>2648</v>
      </c>
      <c r="D69" s="59" t="s">
        <v>2649</v>
      </c>
      <c r="E69" s="57" t="s">
        <v>2650</v>
      </c>
      <c r="F69" s="57">
        <v>120.0939</v>
      </c>
      <c r="G69" s="57">
        <v>7.9695</v>
      </c>
      <c r="H69" s="57">
        <v>105.0699</v>
      </c>
      <c r="I69" s="57">
        <v>119.0855</v>
      </c>
      <c r="J69" s="57">
        <v>91.054199999999994</v>
      </c>
      <c r="K69" s="57">
        <v>115.0754</v>
      </c>
      <c r="L69" s="75" t="s">
        <v>203</v>
      </c>
      <c r="M69" s="75" t="s">
        <v>203</v>
      </c>
    </row>
    <row r="70" spans="1:13" x14ac:dyDescent="0.2">
      <c r="A70" s="54">
        <v>69</v>
      </c>
      <c r="B70" s="57">
        <v>54</v>
      </c>
      <c r="C70" s="57" t="s">
        <v>2540</v>
      </c>
      <c r="D70" s="59" t="s">
        <v>2541</v>
      </c>
      <c r="E70" s="57" t="s">
        <v>2542</v>
      </c>
      <c r="F70" s="57">
        <v>155.95750000000001</v>
      </c>
      <c r="G70" s="57">
        <v>5.9535</v>
      </c>
      <c r="H70" s="57">
        <v>155.95699999999999</v>
      </c>
      <c r="I70" s="57">
        <v>156.94720000000001</v>
      </c>
      <c r="J70" s="57">
        <v>157.95050000000001</v>
      </c>
      <c r="K70" s="57">
        <v>154.94919999999999</v>
      </c>
      <c r="L70" s="75" t="s">
        <v>3450</v>
      </c>
      <c r="M70" s="75" t="s">
        <v>3450</v>
      </c>
    </row>
    <row r="71" spans="1:13" x14ac:dyDescent="0.2">
      <c r="A71" s="54">
        <v>70</v>
      </c>
      <c r="B71" s="57">
        <v>55</v>
      </c>
      <c r="C71" s="57" t="s">
        <v>2630</v>
      </c>
      <c r="D71" s="59" t="s">
        <v>1448</v>
      </c>
      <c r="E71" s="57" t="s">
        <v>168</v>
      </c>
      <c r="F71" s="57">
        <v>92.062600000000003</v>
      </c>
      <c r="G71" s="57">
        <v>5.2847999999999997</v>
      </c>
      <c r="H71" s="57">
        <v>92.062100000000001</v>
      </c>
      <c r="I71" s="57">
        <v>87.044200000000004</v>
      </c>
      <c r="J71" s="57">
        <v>88.052000000000007</v>
      </c>
      <c r="K71" s="57">
        <v>89.059799999999996</v>
      </c>
      <c r="L71" s="75" t="s">
        <v>3605</v>
      </c>
      <c r="M71" s="75" t="s">
        <v>3605</v>
      </c>
    </row>
    <row r="72" spans="1:13" x14ac:dyDescent="0.2">
      <c r="A72" s="54">
        <v>71</v>
      </c>
      <c r="B72" s="57">
        <v>56</v>
      </c>
      <c r="C72" s="57" t="s">
        <v>2557</v>
      </c>
      <c r="D72" s="59" t="s">
        <v>2558</v>
      </c>
      <c r="E72" s="57" t="s">
        <v>2559</v>
      </c>
      <c r="F72" s="57">
        <v>112.008</v>
      </c>
      <c r="G72" s="57">
        <v>3.8687999999999998</v>
      </c>
      <c r="H72" s="57">
        <v>112.00749999999999</v>
      </c>
      <c r="I72" s="57">
        <v>114.0047</v>
      </c>
      <c r="J72" s="57">
        <v>113.0027</v>
      </c>
      <c r="K72" s="57">
        <v>110.002</v>
      </c>
      <c r="L72" s="75" t="s">
        <v>3449</v>
      </c>
      <c r="M72" s="75" t="s">
        <v>3449</v>
      </c>
    </row>
    <row r="73" spans="1:13" x14ac:dyDescent="0.2">
      <c r="A73" s="54">
        <v>72</v>
      </c>
      <c r="B73" s="57">
        <v>57</v>
      </c>
      <c r="C73" s="57" t="s">
        <v>2961</v>
      </c>
      <c r="D73" s="59" t="s">
        <v>1058</v>
      </c>
      <c r="E73" s="57" t="s">
        <v>487</v>
      </c>
      <c r="F73" s="57">
        <v>94.041899999999998</v>
      </c>
      <c r="G73" s="57">
        <v>7.2529000000000003</v>
      </c>
      <c r="H73" s="57">
        <v>94.041399999999996</v>
      </c>
      <c r="I73" s="57">
        <v>95.049099999999996</v>
      </c>
      <c r="J73" s="57">
        <v>105.0335</v>
      </c>
      <c r="K73" s="57">
        <v>122.0363</v>
      </c>
      <c r="L73" s="75" t="s">
        <v>3606</v>
      </c>
      <c r="M73" s="75" t="s">
        <v>3606</v>
      </c>
    </row>
    <row r="74" spans="1:13" x14ac:dyDescent="0.2">
      <c r="A74" s="54">
        <v>73</v>
      </c>
      <c r="B74" s="57" t="s">
        <v>1</v>
      </c>
      <c r="C74" s="57" t="s">
        <v>2331</v>
      </c>
      <c r="D74" s="59" t="s">
        <v>1</v>
      </c>
      <c r="E74" s="57" t="s">
        <v>1</v>
      </c>
      <c r="F74" s="57" t="s">
        <v>1</v>
      </c>
      <c r="G74" s="57">
        <v>3.7778</v>
      </c>
      <c r="H74" s="57">
        <v>94.041399999999996</v>
      </c>
      <c r="I74" s="57">
        <v>95.049199999999999</v>
      </c>
      <c r="J74" s="57">
        <v>92.057699999999997</v>
      </c>
      <c r="K74" s="57">
        <v>152.06229999999999</v>
      </c>
      <c r="L74" s="75">
        <v>0</v>
      </c>
      <c r="M74" s="75" t="s">
        <v>1</v>
      </c>
    </row>
    <row r="75" spans="1:13" x14ac:dyDescent="0.2">
      <c r="A75" s="54">
        <v>74</v>
      </c>
      <c r="B75" s="57">
        <v>58</v>
      </c>
      <c r="C75" s="57" t="s">
        <v>2343</v>
      </c>
      <c r="D75" s="59" t="s">
        <v>3157</v>
      </c>
      <c r="E75" s="57" t="s">
        <v>30</v>
      </c>
      <c r="F75" s="57">
        <v>236.1412</v>
      </c>
      <c r="G75" s="57">
        <v>13.2254</v>
      </c>
      <c r="H75" s="57">
        <v>236.14060000000001</v>
      </c>
      <c r="I75" s="57">
        <v>237.14359999999999</v>
      </c>
      <c r="J75" s="57">
        <v>235.13460000000001</v>
      </c>
      <c r="K75" s="57">
        <v>234.12639999999999</v>
      </c>
      <c r="L75" s="75" t="s">
        <v>29</v>
      </c>
      <c r="M75" s="75" t="s">
        <v>29</v>
      </c>
    </row>
    <row r="76" spans="1:13" x14ac:dyDescent="0.2">
      <c r="A76" s="54">
        <v>75</v>
      </c>
      <c r="B76" s="57">
        <v>59</v>
      </c>
      <c r="C76" s="57" t="s">
        <v>1946</v>
      </c>
      <c r="D76" s="59" t="s">
        <v>1210</v>
      </c>
      <c r="E76" s="57" t="s">
        <v>940</v>
      </c>
      <c r="F76" s="57">
        <v>331.96230000000003</v>
      </c>
      <c r="G76" s="57">
        <v>14.2966</v>
      </c>
      <c r="H76" s="57">
        <v>123.0442</v>
      </c>
      <c r="I76" s="57">
        <v>167.03399999999999</v>
      </c>
      <c r="J76" s="57">
        <v>124.0475</v>
      </c>
      <c r="K76" s="57">
        <v>168.03729999999999</v>
      </c>
      <c r="L76" s="75" t="s">
        <v>939</v>
      </c>
      <c r="M76" s="75" t="s">
        <v>939</v>
      </c>
    </row>
    <row r="77" spans="1:13" x14ac:dyDescent="0.2">
      <c r="A77" s="54">
        <v>76</v>
      </c>
      <c r="B77" s="57">
        <v>60</v>
      </c>
      <c r="C77" s="57" t="s">
        <v>2866</v>
      </c>
      <c r="D77" s="59" t="s">
        <v>1438</v>
      </c>
      <c r="E77" s="57" t="s">
        <v>162</v>
      </c>
      <c r="F77" s="57">
        <v>93.057900000000004</v>
      </c>
      <c r="G77" s="57">
        <v>5.4047999999999998</v>
      </c>
      <c r="H77" s="57">
        <v>93.057299999999998</v>
      </c>
      <c r="I77" s="57">
        <v>110.03619999999999</v>
      </c>
      <c r="J77" s="57">
        <v>92.049499999999995</v>
      </c>
      <c r="K77" s="57">
        <v>94.060699999999997</v>
      </c>
      <c r="L77" s="75"/>
      <c r="M77" s="73" t="s">
        <v>3593</v>
      </c>
    </row>
    <row r="78" spans="1:13" x14ac:dyDescent="0.2">
      <c r="A78" s="54">
        <v>77</v>
      </c>
      <c r="B78" s="57">
        <v>61</v>
      </c>
      <c r="C78" s="57" t="s">
        <v>2785</v>
      </c>
      <c r="D78" s="59" t="s">
        <v>1172</v>
      </c>
      <c r="E78" s="57" t="s">
        <v>105</v>
      </c>
      <c r="F78" s="57">
        <v>200.17760000000001</v>
      </c>
      <c r="G78" s="57">
        <v>4.3129999999999997</v>
      </c>
      <c r="H78" s="57">
        <v>200.17689999999999</v>
      </c>
      <c r="I78" s="57">
        <v>131.10679999999999</v>
      </c>
      <c r="J78" s="57">
        <v>89.059799999999996</v>
      </c>
      <c r="K78" s="57">
        <v>87.0441</v>
      </c>
      <c r="L78" s="75" t="s">
        <v>104</v>
      </c>
      <c r="M78" s="75" t="s">
        <v>104</v>
      </c>
    </row>
    <row r="79" spans="1:13" x14ac:dyDescent="0.2">
      <c r="A79" s="54">
        <v>78</v>
      </c>
      <c r="B79" s="57">
        <v>62</v>
      </c>
      <c r="C79" s="57" t="s">
        <v>2914</v>
      </c>
      <c r="D79" s="59" t="s">
        <v>3254</v>
      </c>
      <c r="E79" s="57" t="s">
        <v>485</v>
      </c>
      <c r="F79" s="57">
        <v>141.99520000000001</v>
      </c>
      <c r="G79" s="57">
        <v>8.1980000000000004</v>
      </c>
      <c r="H79" s="57">
        <v>141.99510000000001</v>
      </c>
      <c r="I79" s="57">
        <v>138.99469999999999</v>
      </c>
      <c r="J79" s="57">
        <v>140.99170000000001</v>
      </c>
      <c r="K79" s="57">
        <v>139.99799999999999</v>
      </c>
      <c r="L79" s="75" t="s">
        <v>3488</v>
      </c>
      <c r="M79" s="75" t="s">
        <v>3488</v>
      </c>
    </row>
    <row r="80" spans="1:13" x14ac:dyDescent="0.2">
      <c r="A80" s="54">
        <v>79</v>
      </c>
      <c r="B80" s="57" t="s">
        <v>1</v>
      </c>
      <c r="C80" s="57" t="s">
        <v>2915</v>
      </c>
      <c r="D80" s="59" t="s">
        <v>1</v>
      </c>
      <c r="E80" s="57" t="s">
        <v>1</v>
      </c>
      <c r="F80" s="57" t="s">
        <v>1</v>
      </c>
      <c r="G80" s="57">
        <v>5.6712999999999996</v>
      </c>
      <c r="H80" s="57">
        <v>141.99510000000001</v>
      </c>
      <c r="I80" s="57">
        <v>138.99469999999999</v>
      </c>
      <c r="J80" s="57">
        <v>140.99170000000001</v>
      </c>
      <c r="K80" s="57">
        <v>139.99799999999999</v>
      </c>
      <c r="L80" s="75">
        <v>0</v>
      </c>
      <c r="M80" s="75" t="s">
        <v>1</v>
      </c>
    </row>
    <row r="81" spans="1:13" x14ac:dyDescent="0.2">
      <c r="A81" s="54">
        <v>80</v>
      </c>
      <c r="B81" s="57" t="s">
        <v>1</v>
      </c>
      <c r="C81" s="57" t="s">
        <v>2227</v>
      </c>
      <c r="D81" s="59" t="s">
        <v>1</v>
      </c>
      <c r="E81" s="57" t="s">
        <v>1</v>
      </c>
      <c r="F81" s="57" t="s">
        <v>1</v>
      </c>
      <c r="G81" s="57">
        <v>8.2705000000000002</v>
      </c>
      <c r="H81" s="57">
        <v>141.995</v>
      </c>
      <c r="I81" s="57">
        <v>138.9948</v>
      </c>
      <c r="J81" s="57">
        <v>139.99789999999999</v>
      </c>
      <c r="K81" s="57">
        <v>140.99160000000001</v>
      </c>
      <c r="L81" s="75">
        <v>0</v>
      </c>
      <c r="M81" s="75" t="s">
        <v>1</v>
      </c>
    </row>
    <row r="82" spans="1:13" x14ac:dyDescent="0.2">
      <c r="A82" s="54">
        <v>81</v>
      </c>
      <c r="B82" s="57" t="s">
        <v>1</v>
      </c>
      <c r="C82" s="57" t="s">
        <v>2228</v>
      </c>
      <c r="D82" s="59" t="s">
        <v>1</v>
      </c>
      <c r="E82" s="57" t="s">
        <v>1</v>
      </c>
      <c r="F82" s="57" t="s">
        <v>1</v>
      </c>
      <c r="G82" s="57">
        <v>10.834099999999999</v>
      </c>
      <c r="H82" s="57">
        <v>141.995</v>
      </c>
      <c r="I82" s="57">
        <v>138.9948</v>
      </c>
      <c r="J82" s="57">
        <v>139.99789999999999</v>
      </c>
      <c r="K82" s="57">
        <v>140.99160000000001</v>
      </c>
      <c r="L82" s="75">
        <v>0</v>
      </c>
      <c r="M82" s="75" t="s">
        <v>1</v>
      </c>
    </row>
    <row r="83" spans="1:13" x14ac:dyDescent="0.2">
      <c r="A83" s="54">
        <v>82</v>
      </c>
      <c r="B83" s="57">
        <v>63</v>
      </c>
      <c r="C83" s="57" t="s">
        <v>2793</v>
      </c>
      <c r="D83" s="59" t="s">
        <v>1183</v>
      </c>
      <c r="E83" s="57" t="s">
        <v>107</v>
      </c>
      <c r="F83" s="57">
        <v>312.30279999999999</v>
      </c>
      <c r="G83" s="57">
        <v>10.2963</v>
      </c>
      <c r="H83" s="57">
        <v>312.30180000000001</v>
      </c>
      <c r="I83" s="57">
        <v>88.051900000000003</v>
      </c>
      <c r="J83" s="57">
        <v>129.09129999999999</v>
      </c>
      <c r="K83" s="57">
        <v>101.0598</v>
      </c>
      <c r="L83" s="75" t="s">
        <v>106</v>
      </c>
      <c r="M83" s="75" t="s">
        <v>106</v>
      </c>
    </row>
    <row r="84" spans="1:13" x14ac:dyDescent="0.2">
      <c r="A84" s="54">
        <v>83</v>
      </c>
      <c r="B84" s="57">
        <v>64</v>
      </c>
      <c r="C84" s="57" t="s">
        <v>3112</v>
      </c>
      <c r="D84" s="59" t="s">
        <v>1143</v>
      </c>
      <c r="E84" s="57" t="s">
        <v>128</v>
      </c>
      <c r="F84" s="57">
        <v>310.28719999999998</v>
      </c>
      <c r="G84" s="57">
        <v>17.0167</v>
      </c>
      <c r="H84" s="57">
        <v>311.29480000000001</v>
      </c>
      <c r="I84" s="57">
        <v>265.25310000000002</v>
      </c>
      <c r="J84" s="57">
        <v>96.0809</v>
      </c>
      <c r="K84" s="57">
        <v>263.2371</v>
      </c>
      <c r="L84" s="75" t="s">
        <v>127</v>
      </c>
      <c r="M84" s="75" t="s">
        <v>127</v>
      </c>
    </row>
    <row r="85" spans="1:13" x14ac:dyDescent="0.2">
      <c r="A85" s="54">
        <v>84</v>
      </c>
      <c r="B85" s="57">
        <v>65</v>
      </c>
      <c r="C85" s="57" t="s">
        <v>2224</v>
      </c>
      <c r="D85" s="59" t="s">
        <v>3170</v>
      </c>
      <c r="E85" s="57" t="s">
        <v>206</v>
      </c>
      <c r="F85" s="57">
        <v>172.006</v>
      </c>
      <c r="G85" s="57">
        <v>11.6113</v>
      </c>
      <c r="H85" s="57">
        <v>172.0076</v>
      </c>
      <c r="I85" s="57">
        <v>173.0155</v>
      </c>
      <c r="J85" s="57">
        <v>95.008799999999994</v>
      </c>
      <c r="K85" s="57">
        <v>93.029200000000003</v>
      </c>
      <c r="L85" s="75" t="s">
        <v>205</v>
      </c>
      <c r="M85" s="75" t="s">
        <v>205</v>
      </c>
    </row>
    <row r="86" spans="1:13" x14ac:dyDescent="0.2">
      <c r="A86" s="54">
        <v>85</v>
      </c>
      <c r="B86" s="57" t="s">
        <v>1</v>
      </c>
      <c r="C86" s="57" t="s">
        <v>2225</v>
      </c>
      <c r="D86" s="59" t="s">
        <v>1</v>
      </c>
      <c r="E86" s="57" t="s">
        <v>1</v>
      </c>
      <c r="F86" s="57" t="s">
        <v>1</v>
      </c>
      <c r="G86" s="57">
        <v>12.3187</v>
      </c>
      <c r="H86" s="57">
        <v>172.0076</v>
      </c>
      <c r="I86" s="57">
        <v>173.0155</v>
      </c>
      <c r="J86" s="57">
        <v>95.008799999999994</v>
      </c>
      <c r="K86" s="57">
        <v>93.029200000000003</v>
      </c>
      <c r="L86" s="75">
        <v>0</v>
      </c>
      <c r="M86" s="75" t="s">
        <v>1</v>
      </c>
    </row>
    <row r="87" spans="1:13" x14ac:dyDescent="0.2">
      <c r="A87" s="54">
        <v>86</v>
      </c>
      <c r="B87" s="57" t="s">
        <v>1</v>
      </c>
      <c r="C87" s="57" t="s">
        <v>2226</v>
      </c>
      <c r="D87" s="59" t="s">
        <v>1</v>
      </c>
      <c r="E87" s="57" t="s">
        <v>1</v>
      </c>
      <c r="F87" s="57" t="s">
        <v>1</v>
      </c>
      <c r="G87" s="57">
        <v>12.445600000000001</v>
      </c>
      <c r="H87" s="57">
        <v>172.0076</v>
      </c>
      <c r="I87" s="57">
        <v>173.0155</v>
      </c>
      <c r="J87" s="57">
        <v>95.008799999999994</v>
      </c>
      <c r="K87" s="57">
        <v>93.029200000000003</v>
      </c>
      <c r="L87" s="75">
        <v>0</v>
      </c>
      <c r="M87" s="75" t="s">
        <v>1</v>
      </c>
    </row>
    <row r="88" spans="1:13" x14ac:dyDescent="0.2">
      <c r="A88" s="54">
        <v>87</v>
      </c>
      <c r="B88" s="57" t="s">
        <v>1</v>
      </c>
      <c r="C88" s="57" t="s">
        <v>2913</v>
      </c>
      <c r="D88" s="59" t="s">
        <v>1</v>
      </c>
      <c r="E88" s="57" t="s">
        <v>1</v>
      </c>
      <c r="F88" s="57" t="s">
        <v>1</v>
      </c>
      <c r="G88" s="57">
        <v>5.6893000000000002</v>
      </c>
      <c r="H88" s="57">
        <v>172.00479999999999</v>
      </c>
      <c r="I88" s="57">
        <v>171.00810000000001</v>
      </c>
      <c r="J88" s="57">
        <v>173.0051</v>
      </c>
      <c r="K88" s="57">
        <v>174.0085</v>
      </c>
      <c r="L88" s="75">
        <v>0</v>
      </c>
      <c r="M88" s="75" t="s">
        <v>1</v>
      </c>
    </row>
    <row r="89" spans="1:13" x14ac:dyDescent="0.2">
      <c r="A89" s="54">
        <v>88</v>
      </c>
      <c r="B89" s="57">
        <v>66</v>
      </c>
      <c r="C89" s="57" t="s">
        <v>2466</v>
      </c>
      <c r="D89" s="59" t="s">
        <v>3294</v>
      </c>
      <c r="E89" s="57" t="s">
        <v>701</v>
      </c>
      <c r="F89" s="57">
        <v>141.9854</v>
      </c>
      <c r="G89" s="57">
        <v>8.1344999999999992</v>
      </c>
      <c r="H89" s="57">
        <v>141.98490000000001</v>
      </c>
      <c r="I89" s="57">
        <v>126.00879999999999</v>
      </c>
      <c r="J89" s="57">
        <v>114.9614</v>
      </c>
      <c r="K89" s="57">
        <v>113.95359999999999</v>
      </c>
      <c r="L89" s="75" t="s">
        <v>700</v>
      </c>
      <c r="M89" s="75" t="s">
        <v>700</v>
      </c>
    </row>
    <row r="90" spans="1:13" x14ac:dyDescent="0.2">
      <c r="A90" s="54">
        <v>89</v>
      </c>
      <c r="B90" s="57">
        <v>67</v>
      </c>
      <c r="C90" s="57" t="s">
        <v>3056</v>
      </c>
      <c r="D90" s="59" t="s">
        <v>3255</v>
      </c>
      <c r="E90" s="57" t="s">
        <v>822</v>
      </c>
      <c r="F90" s="57">
        <v>203.1344</v>
      </c>
      <c r="G90" s="57">
        <v>4.1243999999999996</v>
      </c>
      <c r="H90" s="57">
        <v>128.1069</v>
      </c>
      <c r="I90" s="57">
        <v>132.08410000000001</v>
      </c>
      <c r="J90" s="57">
        <v>90.037199999999999</v>
      </c>
      <c r="K90" s="57">
        <v>129.11019999999999</v>
      </c>
      <c r="L90" s="75" t="s">
        <v>821</v>
      </c>
      <c r="M90" s="75" t="s">
        <v>821</v>
      </c>
    </row>
    <row r="91" spans="1:13" x14ac:dyDescent="0.2">
      <c r="A91" s="54">
        <v>90</v>
      </c>
      <c r="B91" s="57" t="s">
        <v>1</v>
      </c>
      <c r="C91" s="57" t="s">
        <v>2033</v>
      </c>
      <c r="D91" s="59" t="s">
        <v>1</v>
      </c>
      <c r="E91" s="57" t="s">
        <v>1</v>
      </c>
      <c r="F91" s="57" t="s">
        <v>1</v>
      </c>
      <c r="G91" s="57">
        <v>4.6764000000000001</v>
      </c>
      <c r="H91" s="57">
        <v>203.13390000000001</v>
      </c>
      <c r="I91" s="57">
        <v>128.107</v>
      </c>
      <c r="J91" s="57">
        <v>132.08430000000001</v>
      </c>
      <c r="K91" s="57">
        <v>129.1103</v>
      </c>
      <c r="L91" s="75">
        <v>0</v>
      </c>
      <c r="M91" s="75" t="s">
        <v>1</v>
      </c>
    </row>
    <row r="92" spans="1:13" x14ac:dyDescent="0.2">
      <c r="A92" s="54">
        <v>91</v>
      </c>
      <c r="B92" s="57">
        <v>68</v>
      </c>
      <c r="C92" s="57" t="s">
        <v>2509</v>
      </c>
      <c r="D92" s="59" t="s">
        <v>3154</v>
      </c>
      <c r="E92" s="57" t="s">
        <v>839</v>
      </c>
      <c r="F92" s="57">
        <v>410.10090000000002</v>
      </c>
      <c r="G92" s="57">
        <v>13.058</v>
      </c>
      <c r="H92" s="57">
        <v>366.06169999999997</v>
      </c>
      <c r="I92" s="57">
        <v>213.0421</v>
      </c>
      <c r="J92" s="57">
        <v>182.06020000000001</v>
      </c>
      <c r="K92" s="57">
        <v>410.09410000000003</v>
      </c>
      <c r="L92" s="75" t="s">
        <v>838</v>
      </c>
      <c r="M92" s="75" t="s">
        <v>838</v>
      </c>
    </row>
    <row r="93" spans="1:13" x14ac:dyDescent="0.2">
      <c r="A93" s="54">
        <v>92</v>
      </c>
      <c r="B93" s="57">
        <v>69</v>
      </c>
      <c r="C93" s="57" t="s">
        <v>2992</v>
      </c>
      <c r="D93" s="59" t="s">
        <v>2993</v>
      </c>
      <c r="E93" s="57" t="s">
        <v>181</v>
      </c>
      <c r="F93" s="57">
        <v>170.20349999999999</v>
      </c>
      <c r="G93" s="57">
        <v>3.2018</v>
      </c>
      <c r="H93" s="57">
        <v>170.2045</v>
      </c>
      <c r="I93" s="57">
        <v>85.101200000000006</v>
      </c>
      <c r="J93" s="57">
        <v>97.101200000000006</v>
      </c>
      <c r="K93" s="57">
        <v>111.1169</v>
      </c>
      <c r="L93" s="75" t="s">
        <v>180</v>
      </c>
      <c r="M93" s="75" t="s">
        <v>180</v>
      </c>
    </row>
    <row r="94" spans="1:13" x14ac:dyDescent="0.2">
      <c r="A94" s="54">
        <v>93</v>
      </c>
      <c r="B94" s="57">
        <v>70</v>
      </c>
      <c r="C94" s="57" t="s">
        <v>3009</v>
      </c>
      <c r="D94" s="59" t="s">
        <v>3010</v>
      </c>
      <c r="E94" s="57" t="s">
        <v>302</v>
      </c>
      <c r="F94" s="57">
        <v>282.32870000000003</v>
      </c>
      <c r="G94" s="57">
        <v>7.9881000000000002</v>
      </c>
      <c r="H94" s="57">
        <v>282.33069999999998</v>
      </c>
      <c r="I94" s="57">
        <v>85.101200000000006</v>
      </c>
      <c r="J94" s="57">
        <v>97.101299999999995</v>
      </c>
      <c r="K94" s="57">
        <v>111.1169</v>
      </c>
      <c r="L94" s="75" t="s">
        <v>301</v>
      </c>
      <c r="M94" s="75" t="s">
        <v>301</v>
      </c>
    </row>
    <row r="95" spans="1:13" x14ac:dyDescent="0.2">
      <c r="A95" s="54">
        <v>94</v>
      </c>
      <c r="B95" s="57">
        <v>71</v>
      </c>
      <c r="C95" s="57" t="s">
        <v>2087</v>
      </c>
      <c r="D95" s="59" t="s">
        <v>2088</v>
      </c>
      <c r="E95" s="57" t="s">
        <v>608</v>
      </c>
      <c r="F95" s="57">
        <v>275.18849999999998</v>
      </c>
      <c r="G95" s="57">
        <v>8.6740999999999993</v>
      </c>
      <c r="H95" s="57">
        <v>275.18810000000002</v>
      </c>
      <c r="I95" s="57">
        <v>164.07040000000001</v>
      </c>
      <c r="J95" s="57">
        <v>121.0646</v>
      </c>
      <c r="K95" s="57">
        <v>98.023499999999999</v>
      </c>
      <c r="L95" s="75" t="s">
        <v>607</v>
      </c>
      <c r="M95" s="75" t="s">
        <v>607</v>
      </c>
    </row>
    <row r="96" spans="1:13" x14ac:dyDescent="0.2">
      <c r="A96" s="54">
        <v>95</v>
      </c>
      <c r="B96" s="57">
        <v>72</v>
      </c>
      <c r="C96" s="57" t="s">
        <v>2001</v>
      </c>
      <c r="D96" s="59" t="s">
        <v>2002</v>
      </c>
      <c r="E96" s="57" t="s">
        <v>824</v>
      </c>
      <c r="F96" s="57">
        <v>215.1344</v>
      </c>
      <c r="G96" s="57">
        <v>5.5678000000000001</v>
      </c>
      <c r="H96" s="57">
        <v>215.13380000000001</v>
      </c>
      <c r="I96" s="57">
        <v>154.12280000000001</v>
      </c>
      <c r="J96" s="57">
        <v>186.095</v>
      </c>
      <c r="K96" s="57">
        <v>155.126</v>
      </c>
      <c r="L96" s="75" t="s">
        <v>823</v>
      </c>
      <c r="M96" s="75" t="s">
        <v>823</v>
      </c>
    </row>
    <row r="97" spans="1:13" x14ac:dyDescent="0.2">
      <c r="A97" s="54">
        <v>96</v>
      </c>
      <c r="B97" s="57">
        <v>73</v>
      </c>
      <c r="C97" s="57" t="s">
        <v>2804</v>
      </c>
      <c r="D97" s="59" t="s">
        <v>3142</v>
      </c>
      <c r="E97" s="57" t="s">
        <v>769</v>
      </c>
      <c r="F97" s="57">
        <v>209.1052</v>
      </c>
      <c r="G97" s="57">
        <v>19.248899999999999</v>
      </c>
      <c r="H97" s="57">
        <v>110.1046</v>
      </c>
      <c r="I97" s="57">
        <v>111.0805</v>
      </c>
      <c r="J97" s="57">
        <v>152.08320000000001</v>
      </c>
      <c r="K97" s="57">
        <v>93.069900000000004</v>
      </c>
      <c r="L97" s="75" t="s">
        <v>768</v>
      </c>
      <c r="M97" s="75" t="s">
        <v>768</v>
      </c>
    </row>
    <row r="98" spans="1:13" x14ac:dyDescent="0.2">
      <c r="A98" s="54">
        <v>97</v>
      </c>
      <c r="B98" s="57">
        <v>74</v>
      </c>
      <c r="C98" s="57" t="s">
        <v>2405</v>
      </c>
      <c r="D98" s="59" t="s">
        <v>3256</v>
      </c>
      <c r="E98" s="57" t="s">
        <v>325</v>
      </c>
      <c r="F98" s="57">
        <v>283.95389999999998</v>
      </c>
      <c r="G98" s="57">
        <v>9.2919999999999998</v>
      </c>
      <c r="H98" s="57">
        <v>283.95510000000002</v>
      </c>
      <c r="I98" s="57">
        <v>245.99959999999999</v>
      </c>
      <c r="J98" s="57">
        <v>247.99709999999999</v>
      </c>
      <c r="K98" s="57">
        <v>249.00030000000001</v>
      </c>
      <c r="L98" s="75" t="s">
        <v>324</v>
      </c>
      <c r="M98" s="75" t="s">
        <v>324</v>
      </c>
    </row>
    <row r="99" spans="1:13" x14ac:dyDescent="0.2">
      <c r="A99" s="54">
        <v>98</v>
      </c>
      <c r="B99" s="57" t="s">
        <v>1</v>
      </c>
      <c r="C99" s="57" t="s">
        <v>2406</v>
      </c>
      <c r="D99" s="59" t="s">
        <v>1</v>
      </c>
      <c r="E99" s="57" t="s">
        <v>1</v>
      </c>
      <c r="F99" s="57" t="s">
        <v>1</v>
      </c>
      <c r="G99" s="57">
        <v>10.026999999999999</v>
      </c>
      <c r="H99" s="57">
        <v>283.95510000000002</v>
      </c>
      <c r="I99" s="57">
        <v>245.99959999999999</v>
      </c>
      <c r="J99" s="57">
        <v>247.99709999999999</v>
      </c>
      <c r="K99" s="57">
        <v>249.00030000000001</v>
      </c>
      <c r="L99" s="75">
        <v>0</v>
      </c>
      <c r="M99" s="75" t="s">
        <v>1</v>
      </c>
    </row>
    <row r="100" spans="1:13" x14ac:dyDescent="0.2">
      <c r="A100" s="54">
        <v>99</v>
      </c>
      <c r="B100" s="57">
        <v>75</v>
      </c>
      <c r="C100" s="57" t="s">
        <v>2803</v>
      </c>
      <c r="D100" s="59" t="s">
        <v>1281</v>
      </c>
      <c r="E100" s="57" t="s">
        <v>762</v>
      </c>
      <c r="F100" s="57">
        <v>190.07759999999999</v>
      </c>
      <c r="G100" s="57">
        <v>10.666700000000001</v>
      </c>
      <c r="H100" s="57">
        <v>190.07810000000001</v>
      </c>
      <c r="I100" s="57">
        <v>178.07769999999999</v>
      </c>
      <c r="J100" s="57">
        <v>105.0699</v>
      </c>
      <c r="K100" s="57">
        <v>109.09699999999999</v>
      </c>
      <c r="L100" s="75" t="s">
        <v>3608</v>
      </c>
      <c r="M100" s="75" t="s">
        <v>3608</v>
      </c>
    </row>
    <row r="101" spans="1:13" x14ac:dyDescent="0.2">
      <c r="A101" s="54">
        <v>100</v>
      </c>
      <c r="B101" s="57">
        <v>76</v>
      </c>
      <c r="C101" s="57" t="s">
        <v>1940</v>
      </c>
      <c r="D101" s="59" t="s">
        <v>1941</v>
      </c>
      <c r="E101" s="57" t="s">
        <v>1942</v>
      </c>
      <c r="F101" s="57">
        <v>353.88420000000002</v>
      </c>
      <c r="G101" s="57">
        <v>13.9473</v>
      </c>
      <c r="H101" s="57">
        <v>353.88380000000001</v>
      </c>
      <c r="I101" s="57">
        <v>158.9665</v>
      </c>
      <c r="J101" s="57">
        <v>228.88579999999999</v>
      </c>
      <c r="K101" s="57">
        <v>226.8888</v>
      </c>
      <c r="L101" s="75" t="s">
        <v>3455</v>
      </c>
      <c r="M101" s="75" t="s">
        <v>3455</v>
      </c>
    </row>
    <row r="102" spans="1:13" x14ac:dyDescent="0.2">
      <c r="A102" s="54">
        <v>101</v>
      </c>
      <c r="B102" s="57">
        <v>77</v>
      </c>
      <c r="C102" s="57" t="s">
        <v>1725</v>
      </c>
      <c r="D102" s="59" t="s">
        <v>1726</v>
      </c>
      <c r="E102" s="57" t="s">
        <v>1727</v>
      </c>
      <c r="F102" s="57">
        <v>949.17830000000004</v>
      </c>
      <c r="G102" s="57">
        <v>21.489599999999999</v>
      </c>
      <c r="H102" s="57">
        <v>822.13490000000002</v>
      </c>
      <c r="I102" s="57">
        <v>799.32360000000006</v>
      </c>
      <c r="J102" s="57">
        <v>800.14869999999996</v>
      </c>
      <c r="K102" s="57">
        <v>819.2586</v>
      </c>
      <c r="L102" s="75" t="s">
        <v>3388</v>
      </c>
      <c r="M102" s="75" t="s">
        <v>3388</v>
      </c>
    </row>
    <row r="103" spans="1:13" x14ac:dyDescent="0.2">
      <c r="A103" s="54">
        <v>102</v>
      </c>
      <c r="B103" s="57">
        <v>78</v>
      </c>
      <c r="C103" s="57" t="s">
        <v>2685</v>
      </c>
      <c r="D103" s="59" t="s">
        <v>2686</v>
      </c>
      <c r="E103" s="57" t="s">
        <v>2687</v>
      </c>
      <c r="F103" s="57">
        <v>258.87610000000001</v>
      </c>
      <c r="G103" s="57">
        <v>5.3319000000000001</v>
      </c>
      <c r="H103" s="57">
        <v>258.87569999999999</v>
      </c>
      <c r="I103" s="57">
        <v>202.8794</v>
      </c>
      <c r="J103" s="57">
        <v>200.88239999999999</v>
      </c>
      <c r="K103" s="57">
        <v>260.87270000000001</v>
      </c>
      <c r="L103" s="75" t="s">
        <v>3433</v>
      </c>
      <c r="M103" s="75" t="s">
        <v>3433</v>
      </c>
    </row>
    <row r="104" spans="1:13" x14ac:dyDescent="0.2">
      <c r="A104" s="54">
        <v>103</v>
      </c>
      <c r="B104" s="57">
        <v>79</v>
      </c>
      <c r="C104" s="57" t="s">
        <v>2917</v>
      </c>
      <c r="D104" s="59" t="s">
        <v>3295</v>
      </c>
      <c r="E104" s="57" t="s">
        <v>246</v>
      </c>
      <c r="F104" s="57">
        <v>390.27699999999999</v>
      </c>
      <c r="G104" s="57">
        <v>14.215999999999999</v>
      </c>
      <c r="H104" s="57">
        <v>394.29379999999998</v>
      </c>
      <c r="I104" s="57">
        <v>391.28550000000001</v>
      </c>
      <c r="J104" s="57">
        <v>167.03389999999999</v>
      </c>
      <c r="K104" s="57">
        <v>150.0265</v>
      </c>
      <c r="L104" s="75" t="s">
        <v>245</v>
      </c>
      <c r="M104" s="75" t="s">
        <v>245</v>
      </c>
    </row>
    <row r="105" spans="1:13" x14ac:dyDescent="0.2">
      <c r="A105" s="54">
        <v>104</v>
      </c>
      <c r="B105" s="57" t="s">
        <v>1</v>
      </c>
      <c r="C105" s="57" t="s">
        <v>2237</v>
      </c>
      <c r="D105" s="59" t="s">
        <v>1</v>
      </c>
      <c r="E105" s="57" t="s">
        <v>1</v>
      </c>
      <c r="F105" s="57" t="s">
        <v>1</v>
      </c>
      <c r="G105" s="57">
        <v>14.2966</v>
      </c>
      <c r="H105" s="57">
        <v>149.02330000000001</v>
      </c>
      <c r="I105" s="57">
        <v>167.03399999999999</v>
      </c>
      <c r="J105" s="57">
        <v>279.1592</v>
      </c>
      <c r="K105" s="57">
        <v>391.28519999999997</v>
      </c>
      <c r="L105" s="75">
        <v>0</v>
      </c>
      <c r="M105" s="75" t="s">
        <v>1</v>
      </c>
    </row>
    <row r="106" spans="1:13" x14ac:dyDescent="0.2">
      <c r="A106" s="54">
        <v>105</v>
      </c>
      <c r="B106" s="57">
        <v>80</v>
      </c>
      <c r="C106" s="57" t="s">
        <v>2236</v>
      </c>
      <c r="D106" s="59" t="s">
        <v>3257</v>
      </c>
      <c r="E106" s="57" t="s">
        <v>261</v>
      </c>
      <c r="F106" s="57">
        <v>390.27699999999999</v>
      </c>
      <c r="G106" s="57">
        <v>17.847000000000001</v>
      </c>
      <c r="H106" s="57">
        <v>149.12379999999999</v>
      </c>
      <c r="I106" s="57">
        <v>150.13589999999999</v>
      </c>
      <c r="J106" s="57">
        <v>275.10570000000001</v>
      </c>
      <c r="K106" s="57">
        <v>151.13919999999999</v>
      </c>
      <c r="L106" s="75" t="s">
        <v>245</v>
      </c>
      <c r="M106" s="75" t="s">
        <v>245</v>
      </c>
    </row>
    <row r="107" spans="1:13" x14ac:dyDescent="0.2">
      <c r="A107" s="54">
        <v>106</v>
      </c>
      <c r="B107" s="57" t="s">
        <v>1</v>
      </c>
      <c r="C107" s="57" t="s">
        <v>2937</v>
      </c>
      <c r="D107" s="59" t="s">
        <v>1</v>
      </c>
      <c r="E107" s="57" t="s">
        <v>1</v>
      </c>
      <c r="F107" s="57" t="s">
        <v>1</v>
      </c>
      <c r="G107" s="57">
        <v>14.1913</v>
      </c>
      <c r="H107" s="57">
        <v>149.02379999999999</v>
      </c>
      <c r="I107" s="57">
        <v>279.15899999999999</v>
      </c>
      <c r="J107" s="57">
        <v>150.03020000000001</v>
      </c>
      <c r="K107" s="57">
        <v>167.03389999999999</v>
      </c>
      <c r="L107" s="75">
        <v>0</v>
      </c>
      <c r="M107" s="75" t="s">
        <v>1</v>
      </c>
    </row>
    <row r="108" spans="1:13" x14ac:dyDescent="0.2">
      <c r="A108" s="54">
        <v>107</v>
      </c>
      <c r="B108" s="57">
        <v>81</v>
      </c>
      <c r="C108" s="57" t="s">
        <v>2460</v>
      </c>
      <c r="D108" s="59" t="s">
        <v>2461</v>
      </c>
      <c r="E108" s="57" t="s">
        <v>55</v>
      </c>
      <c r="F108" s="57">
        <v>262.15699999999998</v>
      </c>
      <c r="G108" s="57">
        <v>17.8447</v>
      </c>
      <c r="H108" s="57">
        <v>138.13589999999999</v>
      </c>
      <c r="I108" s="57">
        <v>201.16380000000001</v>
      </c>
      <c r="J108" s="57">
        <v>109.10120000000001</v>
      </c>
      <c r="K108" s="57">
        <v>200.15129999999999</v>
      </c>
      <c r="L108" s="75" t="s">
        <v>54</v>
      </c>
      <c r="M108" s="75" t="s">
        <v>54</v>
      </c>
    </row>
    <row r="109" spans="1:13" x14ac:dyDescent="0.2">
      <c r="A109" s="54">
        <v>108</v>
      </c>
      <c r="B109" s="57">
        <v>82</v>
      </c>
      <c r="C109" s="57" t="s">
        <v>2969</v>
      </c>
      <c r="D109" s="59" t="s">
        <v>2970</v>
      </c>
      <c r="E109" s="57" t="s">
        <v>122</v>
      </c>
      <c r="F109" s="57">
        <v>228.07859999999999</v>
      </c>
      <c r="G109" s="57">
        <v>7.3045</v>
      </c>
      <c r="H109" s="57">
        <v>228.07810000000001</v>
      </c>
      <c r="I109" s="57">
        <v>91.054199999999994</v>
      </c>
      <c r="J109" s="57">
        <v>92.057599999999994</v>
      </c>
      <c r="K109" s="57">
        <v>210.0677</v>
      </c>
      <c r="L109" s="75" t="s">
        <v>27</v>
      </c>
      <c r="M109" s="75" t="s">
        <v>27</v>
      </c>
    </row>
    <row r="110" spans="1:13" x14ac:dyDescent="0.2">
      <c r="A110" s="54">
        <v>109</v>
      </c>
      <c r="B110" s="57">
        <v>83</v>
      </c>
      <c r="C110" s="57" t="s">
        <v>3064</v>
      </c>
      <c r="D110" s="59" t="s">
        <v>3065</v>
      </c>
      <c r="E110" s="57" t="s">
        <v>100</v>
      </c>
      <c r="F110" s="57">
        <v>126.0317</v>
      </c>
      <c r="G110" s="57">
        <v>3.3980999999999999</v>
      </c>
      <c r="H110" s="57">
        <v>126.0313</v>
      </c>
      <c r="I110" s="57">
        <v>127.0573</v>
      </c>
      <c r="J110" s="57">
        <v>145.0284</v>
      </c>
      <c r="K110" s="57">
        <v>109.0398</v>
      </c>
      <c r="L110" s="75" t="s">
        <v>99</v>
      </c>
      <c r="M110" s="75" t="s">
        <v>99</v>
      </c>
    </row>
    <row r="111" spans="1:13" x14ac:dyDescent="0.2">
      <c r="A111" s="54">
        <v>110</v>
      </c>
      <c r="B111" s="57">
        <v>84</v>
      </c>
      <c r="C111" s="57" t="s">
        <v>1575</v>
      </c>
      <c r="D111" s="59" t="s">
        <v>3258</v>
      </c>
      <c r="E111" s="57" t="s">
        <v>959</v>
      </c>
      <c r="F111" s="57">
        <v>281.81310000000002</v>
      </c>
      <c r="G111" s="57">
        <v>5.9840999999999998</v>
      </c>
      <c r="H111" s="57">
        <v>283.80990000000003</v>
      </c>
      <c r="I111" s="57">
        <v>285.80700000000002</v>
      </c>
      <c r="J111" s="57">
        <v>281.81290000000001</v>
      </c>
      <c r="K111" s="57">
        <v>287.80410000000001</v>
      </c>
      <c r="L111" s="75" t="s">
        <v>958</v>
      </c>
      <c r="M111" s="75" t="s">
        <v>958</v>
      </c>
    </row>
    <row r="112" spans="1:13" x14ac:dyDescent="0.2">
      <c r="A112" s="54">
        <v>111</v>
      </c>
      <c r="B112" s="57" t="s">
        <v>1</v>
      </c>
      <c r="C112" s="57" t="s">
        <v>1925</v>
      </c>
      <c r="D112" s="59" t="s">
        <v>1</v>
      </c>
      <c r="E112" s="57" t="s">
        <v>1</v>
      </c>
      <c r="F112" s="57" t="s">
        <v>1</v>
      </c>
      <c r="G112" s="57">
        <v>5.9850000000000003</v>
      </c>
      <c r="H112" s="57">
        <v>281.8125</v>
      </c>
      <c r="I112" s="57">
        <v>283.80990000000003</v>
      </c>
      <c r="J112" s="57">
        <v>285.80700000000002</v>
      </c>
      <c r="K112" s="57">
        <v>287.80410000000001</v>
      </c>
      <c r="L112" s="75">
        <v>0</v>
      </c>
      <c r="M112" s="75" t="s">
        <v>1</v>
      </c>
    </row>
    <row r="113" spans="1:13" x14ac:dyDescent="0.2">
      <c r="A113" s="54">
        <v>112</v>
      </c>
      <c r="B113" s="57" t="s">
        <v>1</v>
      </c>
      <c r="C113" s="57" t="s">
        <v>2940</v>
      </c>
      <c r="D113" s="59" t="s">
        <v>1</v>
      </c>
      <c r="E113" s="57" t="s">
        <v>1</v>
      </c>
      <c r="F113" s="57" t="s">
        <v>1</v>
      </c>
      <c r="G113" s="57">
        <v>5.9794</v>
      </c>
      <c r="H113" s="57">
        <v>281.8125</v>
      </c>
      <c r="I113" s="57">
        <v>283.81029999999998</v>
      </c>
      <c r="J113" s="57">
        <v>285.8073</v>
      </c>
      <c r="K113" s="57">
        <v>287.80430000000001</v>
      </c>
      <c r="L113" s="75">
        <v>0</v>
      </c>
      <c r="M113" s="75" t="s">
        <v>1</v>
      </c>
    </row>
    <row r="114" spans="1:13" x14ac:dyDescent="0.2">
      <c r="A114" s="54">
        <v>113</v>
      </c>
      <c r="B114" s="57">
        <v>85</v>
      </c>
      <c r="C114" s="57" t="s">
        <v>2445</v>
      </c>
      <c r="D114" s="59" t="s">
        <v>3259</v>
      </c>
      <c r="E114" s="57" t="s">
        <v>573</v>
      </c>
      <c r="F114" s="57">
        <v>327.77300000000002</v>
      </c>
      <c r="G114" s="57">
        <v>5.6586999999999996</v>
      </c>
      <c r="H114" s="57">
        <v>329.77170000000001</v>
      </c>
      <c r="I114" s="57">
        <v>331.76960000000003</v>
      </c>
      <c r="J114" s="57">
        <v>327.77379999999999</v>
      </c>
      <c r="K114" s="57">
        <v>333.76749999999998</v>
      </c>
      <c r="L114" s="75" t="s">
        <v>572</v>
      </c>
      <c r="M114" s="75" t="s">
        <v>572</v>
      </c>
    </row>
    <row r="115" spans="1:13" x14ac:dyDescent="0.2">
      <c r="A115" s="54">
        <v>114</v>
      </c>
      <c r="B115" s="57" t="s">
        <v>1</v>
      </c>
      <c r="C115" s="57" t="s">
        <v>2446</v>
      </c>
      <c r="D115" s="59" t="s">
        <v>1</v>
      </c>
      <c r="E115" s="57" t="s">
        <v>1</v>
      </c>
      <c r="F115" s="57" t="s">
        <v>1</v>
      </c>
      <c r="G115" s="57">
        <v>8.7347999999999999</v>
      </c>
      <c r="H115" s="57">
        <v>329.77170000000001</v>
      </c>
      <c r="I115" s="57">
        <v>331.76960000000003</v>
      </c>
      <c r="J115" s="57">
        <v>327.77379999999999</v>
      </c>
      <c r="K115" s="57">
        <v>333.76749999999998</v>
      </c>
      <c r="L115" s="75">
        <v>0</v>
      </c>
      <c r="M115" s="75" t="s">
        <v>1</v>
      </c>
    </row>
    <row r="116" spans="1:13" x14ac:dyDescent="0.2">
      <c r="A116" s="54">
        <v>115</v>
      </c>
      <c r="B116" s="57">
        <v>86</v>
      </c>
      <c r="C116" s="57" t="s">
        <v>3108</v>
      </c>
      <c r="D116" s="59" t="s">
        <v>3109</v>
      </c>
      <c r="E116" s="57" t="s">
        <v>627</v>
      </c>
      <c r="F116" s="57">
        <v>370.01499999999999</v>
      </c>
      <c r="G116" s="57">
        <v>7.39</v>
      </c>
      <c r="H116" s="57">
        <v>370.01229999999998</v>
      </c>
      <c r="I116" s="57">
        <v>163.0154</v>
      </c>
      <c r="J116" s="57">
        <v>127.0301</v>
      </c>
      <c r="K116" s="57">
        <v>129.02709999999999</v>
      </c>
      <c r="L116" s="75" t="s">
        <v>626</v>
      </c>
      <c r="M116" s="75" t="s">
        <v>626</v>
      </c>
    </row>
    <row r="117" spans="1:13" x14ac:dyDescent="0.2">
      <c r="A117" s="54">
        <v>116</v>
      </c>
      <c r="B117" s="57">
        <v>87</v>
      </c>
      <c r="C117" s="57" t="s">
        <v>1879</v>
      </c>
      <c r="D117" s="59" t="s">
        <v>3296</v>
      </c>
      <c r="E117" s="57" t="s">
        <v>695</v>
      </c>
      <c r="F117" s="57">
        <v>340.06470000000002</v>
      </c>
      <c r="G117" s="57">
        <v>13.033300000000001</v>
      </c>
      <c r="H117" s="57">
        <v>340.06420000000003</v>
      </c>
      <c r="I117" s="57">
        <v>199.0865</v>
      </c>
      <c r="J117" s="57">
        <v>96.950599999999994</v>
      </c>
      <c r="K117" s="57">
        <v>340.06439999999998</v>
      </c>
      <c r="L117" s="75" t="s">
        <v>694</v>
      </c>
      <c r="M117" s="75" t="s">
        <v>694</v>
      </c>
    </row>
    <row r="118" spans="1:13" x14ac:dyDescent="0.2">
      <c r="A118" s="54">
        <v>117</v>
      </c>
      <c r="B118" s="57">
        <v>88</v>
      </c>
      <c r="C118" s="57" t="s">
        <v>2746</v>
      </c>
      <c r="D118" s="59" t="s">
        <v>3200</v>
      </c>
      <c r="E118" s="57" t="s">
        <v>399</v>
      </c>
      <c r="F118" s="57">
        <v>244.12119999999999</v>
      </c>
      <c r="G118" s="57">
        <v>13.454599999999999</v>
      </c>
      <c r="H118" s="57">
        <v>244.1206</v>
      </c>
      <c r="I118" s="57">
        <v>229.11359999999999</v>
      </c>
      <c r="J118" s="57">
        <v>227.10679999999999</v>
      </c>
      <c r="K118" s="57">
        <v>201.0284</v>
      </c>
      <c r="L118" s="75" t="s">
        <v>398</v>
      </c>
      <c r="M118" s="75" t="s">
        <v>398</v>
      </c>
    </row>
    <row r="119" spans="1:13" x14ac:dyDescent="0.2">
      <c r="A119" s="54">
        <v>118</v>
      </c>
      <c r="B119" s="57" t="s">
        <v>1</v>
      </c>
      <c r="C119" s="57" t="s">
        <v>2886</v>
      </c>
      <c r="D119" s="59" t="s">
        <v>1</v>
      </c>
      <c r="E119" s="57" t="s">
        <v>1</v>
      </c>
      <c r="F119" s="57" t="s">
        <v>1</v>
      </c>
      <c r="G119" s="57">
        <v>11.479699999999999</v>
      </c>
      <c r="H119" s="57">
        <v>201.12739999999999</v>
      </c>
      <c r="I119" s="57">
        <v>158.1046</v>
      </c>
      <c r="J119" s="57">
        <v>187.11170000000001</v>
      </c>
      <c r="K119" s="57">
        <v>229.15870000000001</v>
      </c>
      <c r="L119" s="75">
        <v>0</v>
      </c>
      <c r="M119" s="75" t="s">
        <v>1</v>
      </c>
    </row>
    <row r="120" spans="1:13" x14ac:dyDescent="0.2">
      <c r="A120" s="54">
        <v>119</v>
      </c>
      <c r="B120" s="57">
        <v>89</v>
      </c>
      <c r="C120" s="57" t="s">
        <v>2747</v>
      </c>
      <c r="D120" s="59" t="s">
        <v>3297</v>
      </c>
      <c r="E120" s="57" t="s">
        <v>403</v>
      </c>
      <c r="F120" s="57">
        <v>212.13140000000001</v>
      </c>
      <c r="G120" s="57">
        <v>7.8818999999999999</v>
      </c>
      <c r="H120" s="57">
        <v>212.1302</v>
      </c>
      <c r="I120" s="57">
        <v>213.1848</v>
      </c>
      <c r="J120" s="57">
        <v>211.16909999999999</v>
      </c>
      <c r="K120" s="57">
        <v>199.16900000000001</v>
      </c>
      <c r="L120" s="75" t="s">
        <v>402</v>
      </c>
      <c r="M120" s="75" t="s">
        <v>402</v>
      </c>
    </row>
    <row r="121" spans="1:13" x14ac:dyDescent="0.2">
      <c r="A121" s="54">
        <v>120</v>
      </c>
      <c r="B121" s="57" t="s">
        <v>1</v>
      </c>
      <c r="C121" s="57" t="s">
        <v>2887</v>
      </c>
      <c r="D121" s="59" t="s">
        <v>1</v>
      </c>
      <c r="E121" s="57" t="s">
        <v>1</v>
      </c>
      <c r="F121" s="57" t="s">
        <v>1</v>
      </c>
      <c r="G121" s="57">
        <v>8.3980999999999995</v>
      </c>
      <c r="H121" s="57">
        <v>108.0934</v>
      </c>
      <c r="I121" s="57">
        <v>211.13</v>
      </c>
      <c r="J121" s="57">
        <v>153.06960000000001</v>
      </c>
      <c r="K121" s="57">
        <v>215.08519999999999</v>
      </c>
      <c r="L121" s="75">
        <v>0</v>
      </c>
      <c r="M121" s="75" t="s">
        <v>1</v>
      </c>
    </row>
    <row r="122" spans="1:13" x14ac:dyDescent="0.2">
      <c r="A122" s="54">
        <v>121</v>
      </c>
      <c r="B122" s="57">
        <v>90</v>
      </c>
      <c r="C122" s="57" t="s">
        <v>2475</v>
      </c>
      <c r="D122" s="59" t="s">
        <v>3226</v>
      </c>
      <c r="E122" s="57" t="s">
        <v>2476</v>
      </c>
      <c r="F122" s="57">
        <v>273.9735</v>
      </c>
      <c r="G122" s="57">
        <v>10.438800000000001</v>
      </c>
      <c r="H122" s="57">
        <v>282.97989999999999</v>
      </c>
      <c r="I122" s="57">
        <v>284.9769</v>
      </c>
      <c r="J122" s="57">
        <v>286.9735</v>
      </c>
      <c r="K122" s="57">
        <v>287.9776</v>
      </c>
      <c r="L122" s="75" t="s">
        <v>3446</v>
      </c>
      <c r="M122" s="75" t="s">
        <v>3446</v>
      </c>
    </row>
    <row r="123" spans="1:13" x14ac:dyDescent="0.2">
      <c r="A123" s="54">
        <v>122</v>
      </c>
      <c r="B123" s="57" t="s">
        <v>1</v>
      </c>
      <c r="C123" s="57" t="s">
        <v>2477</v>
      </c>
      <c r="D123" s="59" t="s">
        <v>1</v>
      </c>
      <c r="E123" s="57" t="s">
        <v>1</v>
      </c>
      <c r="F123" s="57" t="s">
        <v>1</v>
      </c>
      <c r="G123" s="57">
        <v>10.599399999999999</v>
      </c>
      <c r="H123" s="57">
        <v>282.97989999999999</v>
      </c>
      <c r="I123" s="57">
        <v>284.9769</v>
      </c>
      <c r="J123" s="57">
        <v>286.9735</v>
      </c>
      <c r="K123" s="57">
        <v>287.9776</v>
      </c>
      <c r="L123" s="75">
        <v>0</v>
      </c>
      <c r="M123" s="75" t="s">
        <v>1</v>
      </c>
    </row>
    <row r="124" spans="1:13" x14ac:dyDescent="0.2">
      <c r="A124" s="54">
        <v>123</v>
      </c>
      <c r="B124" s="57" t="s">
        <v>1</v>
      </c>
      <c r="C124" s="57" t="s">
        <v>2478</v>
      </c>
      <c r="D124" s="59" t="s">
        <v>1</v>
      </c>
      <c r="E124" s="57" t="s">
        <v>1</v>
      </c>
      <c r="F124" s="57" t="s">
        <v>1</v>
      </c>
      <c r="G124" s="57">
        <v>11.230700000000001</v>
      </c>
      <c r="H124" s="57">
        <v>282.97989999999999</v>
      </c>
      <c r="I124" s="57">
        <v>284.9769</v>
      </c>
      <c r="J124" s="57">
        <v>286.9735</v>
      </c>
      <c r="K124" s="57">
        <v>287.9776</v>
      </c>
      <c r="L124" s="75">
        <v>0</v>
      </c>
      <c r="M124" s="75" t="s">
        <v>1</v>
      </c>
    </row>
    <row r="125" spans="1:13" x14ac:dyDescent="0.2">
      <c r="A125" s="54">
        <v>124</v>
      </c>
      <c r="B125" s="57" t="s">
        <v>1</v>
      </c>
      <c r="C125" s="57" t="s">
        <v>2479</v>
      </c>
      <c r="D125" s="59" t="s">
        <v>1</v>
      </c>
      <c r="E125" s="57" t="s">
        <v>1</v>
      </c>
      <c r="F125" s="57" t="s">
        <v>1</v>
      </c>
      <c r="G125" s="57">
        <v>10.1561</v>
      </c>
      <c r="H125" s="57">
        <v>282.97989999999999</v>
      </c>
      <c r="I125" s="57">
        <v>284.9769</v>
      </c>
      <c r="J125" s="57">
        <v>286.9735</v>
      </c>
      <c r="K125" s="57">
        <v>287.9776</v>
      </c>
      <c r="L125" s="75">
        <v>0</v>
      </c>
      <c r="M125" s="75" t="s">
        <v>1</v>
      </c>
    </row>
    <row r="126" spans="1:13" x14ac:dyDescent="0.2">
      <c r="A126" s="54">
        <v>125</v>
      </c>
      <c r="B126" s="57">
        <v>91</v>
      </c>
      <c r="C126" s="57" t="s">
        <v>2046</v>
      </c>
      <c r="D126" s="59" t="s">
        <v>2047</v>
      </c>
      <c r="E126" s="57" t="s">
        <v>2048</v>
      </c>
      <c r="F126" s="57">
        <v>333.16079999999999</v>
      </c>
      <c r="G126" s="57">
        <v>13.7598</v>
      </c>
      <c r="H126" s="57">
        <v>333.16019999999997</v>
      </c>
      <c r="I126" s="57">
        <v>171.0317</v>
      </c>
      <c r="J126" s="57">
        <v>318.137</v>
      </c>
      <c r="K126" s="57">
        <v>276.08999999999997</v>
      </c>
      <c r="L126" s="75" t="s">
        <v>3504</v>
      </c>
      <c r="M126" s="75" t="s">
        <v>3504</v>
      </c>
    </row>
    <row r="127" spans="1:13" x14ac:dyDescent="0.2">
      <c r="A127" s="54">
        <v>126</v>
      </c>
      <c r="B127" s="57">
        <v>92</v>
      </c>
      <c r="C127" s="57" t="s">
        <v>1951</v>
      </c>
      <c r="D127" s="59" t="s">
        <v>1952</v>
      </c>
      <c r="E127" s="57" t="s">
        <v>1953</v>
      </c>
      <c r="F127" s="57">
        <v>170.96430000000001</v>
      </c>
      <c r="G127" s="57">
        <v>4.0377999999999998</v>
      </c>
      <c r="H127" s="57">
        <v>170.96360000000001</v>
      </c>
      <c r="I127" s="57">
        <v>172.9607</v>
      </c>
      <c r="J127" s="57">
        <v>100.0181</v>
      </c>
      <c r="K127" s="57">
        <v>164.0009</v>
      </c>
      <c r="L127" s="75" t="s">
        <v>3609</v>
      </c>
      <c r="M127" s="75" t="s">
        <v>3609</v>
      </c>
    </row>
    <row r="128" spans="1:13" x14ac:dyDescent="0.2">
      <c r="A128" s="54">
        <v>127</v>
      </c>
      <c r="B128" s="57">
        <v>93</v>
      </c>
      <c r="C128" s="57" t="s">
        <v>2302</v>
      </c>
      <c r="D128" s="59" t="s">
        <v>1076</v>
      </c>
      <c r="E128" s="57" t="s">
        <v>455</v>
      </c>
      <c r="F128" s="57">
        <v>178.07830000000001</v>
      </c>
      <c r="G128" s="57">
        <v>6.6654999999999998</v>
      </c>
      <c r="H128" s="57">
        <v>178.0778</v>
      </c>
      <c r="I128" s="57">
        <v>177.06989999999999</v>
      </c>
      <c r="J128" s="57">
        <v>176.06209999999999</v>
      </c>
      <c r="K128" s="57">
        <v>88.030799999999999</v>
      </c>
      <c r="L128" s="75" t="s">
        <v>438</v>
      </c>
      <c r="M128" s="75" t="s">
        <v>438</v>
      </c>
    </row>
    <row r="129" spans="1:13" x14ac:dyDescent="0.2">
      <c r="A129" s="54">
        <v>128</v>
      </c>
      <c r="B129" s="57" t="s">
        <v>1</v>
      </c>
      <c r="C129" s="57" t="s">
        <v>2905</v>
      </c>
      <c r="D129" s="59" t="s">
        <v>1</v>
      </c>
      <c r="E129" s="57" t="s">
        <v>1</v>
      </c>
      <c r="F129" s="57" t="s">
        <v>1</v>
      </c>
      <c r="G129" s="57">
        <v>6.5594000000000001</v>
      </c>
      <c r="H129" s="57">
        <v>178.07740000000001</v>
      </c>
      <c r="I129" s="57">
        <v>176.06190000000001</v>
      </c>
      <c r="J129" s="57">
        <v>179.08070000000001</v>
      </c>
      <c r="K129" s="57">
        <v>177.054</v>
      </c>
      <c r="L129" s="75">
        <v>0</v>
      </c>
      <c r="M129" s="75" t="s">
        <v>1</v>
      </c>
    </row>
    <row r="130" spans="1:13" x14ac:dyDescent="0.2">
      <c r="A130" s="54">
        <v>129</v>
      </c>
      <c r="B130" s="57">
        <v>94</v>
      </c>
      <c r="C130" s="57" t="s">
        <v>2359</v>
      </c>
      <c r="D130" s="59" t="s">
        <v>2360</v>
      </c>
      <c r="E130" s="57" t="s">
        <v>2361</v>
      </c>
      <c r="F130" s="57">
        <v>233.98500000000001</v>
      </c>
      <c r="G130" s="57">
        <v>11.0992</v>
      </c>
      <c r="H130" s="57">
        <v>161.9633</v>
      </c>
      <c r="I130" s="57">
        <v>163.96029999999999</v>
      </c>
      <c r="J130" s="57">
        <v>165.95740000000001</v>
      </c>
      <c r="K130" s="57">
        <v>233.9873</v>
      </c>
      <c r="L130" s="75" t="s">
        <v>3523</v>
      </c>
      <c r="M130" s="75" t="s">
        <v>3523</v>
      </c>
    </row>
    <row r="131" spans="1:13" x14ac:dyDescent="0.2">
      <c r="A131" s="54">
        <v>130</v>
      </c>
      <c r="B131" s="57">
        <v>95</v>
      </c>
      <c r="C131" s="57" t="s">
        <v>2339</v>
      </c>
      <c r="D131" s="59" t="s">
        <v>1425</v>
      </c>
      <c r="E131" s="57" t="s">
        <v>20</v>
      </c>
      <c r="F131" s="57">
        <v>166.06299999999999</v>
      </c>
      <c r="G131" s="57">
        <v>5.0096999999999996</v>
      </c>
      <c r="H131" s="57">
        <v>166.0625</v>
      </c>
      <c r="I131" s="57">
        <v>121.02849999999999</v>
      </c>
      <c r="J131" s="57">
        <v>139.05430000000001</v>
      </c>
      <c r="K131" s="57">
        <v>138.04640000000001</v>
      </c>
      <c r="L131" s="75" t="s">
        <v>19</v>
      </c>
      <c r="M131" s="75" t="s">
        <v>19</v>
      </c>
    </row>
    <row r="132" spans="1:13" x14ac:dyDescent="0.2">
      <c r="A132" s="54">
        <v>131</v>
      </c>
      <c r="B132" s="57">
        <v>96</v>
      </c>
      <c r="C132" s="57" t="s">
        <v>2842</v>
      </c>
      <c r="D132" s="59" t="s">
        <v>1193</v>
      </c>
      <c r="E132" s="57" t="s">
        <v>65</v>
      </c>
      <c r="F132" s="57">
        <v>162.06809999999999</v>
      </c>
      <c r="G132" s="57">
        <v>18.441299999999998</v>
      </c>
      <c r="H132" s="57">
        <v>162.0675</v>
      </c>
      <c r="I132" s="57">
        <v>161.05969999999999</v>
      </c>
      <c r="J132" s="57">
        <v>163.07079999999999</v>
      </c>
      <c r="K132" s="57">
        <v>104.0621</v>
      </c>
      <c r="L132" s="75" t="s">
        <v>64</v>
      </c>
      <c r="M132" s="75" t="s">
        <v>64</v>
      </c>
    </row>
    <row r="133" spans="1:13" x14ac:dyDescent="0.2">
      <c r="A133" s="54">
        <v>132</v>
      </c>
      <c r="B133" s="57">
        <v>97</v>
      </c>
      <c r="C133" s="57" t="s">
        <v>2880</v>
      </c>
      <c r="D133" s="59" t="s">
        <v>3149</v>
      </c>
      <c r="E133" s="57" t="s">
        <v>376</v>
      </c>
      <c r="F133" s="57">
        <v>137.08410000000001</v>
      </c>
      <c r="G133" s="57">
        <v>3.7707000000000002</v>
      </c>
      <c r="H133" s="57">
        <v>137.08459999999999</v>
      </c>
      <c r="I133" s="57">
        <v>121.0647</v>
      </c>
      <c r="J133" s="57">
        <v>138.03110000000001</v>
      </c>
      <c r="K133" s="57">
        <v>139.07550000000001</v>
      </c>
      <c r="L133" s="75" t="s">
        <v>3610</v>
      </c>
      <c r="M133" s="75" t="s">
        <v>3610</v>
      </c>
    </row>
    <row r="134" spans="1:13" x14ac:dyDescent="0.2">
      <c r="A134" s="54">
        <v>133</v>
      </c>
      <c r="B134" s="57">
        <v>98</v>
      </c>
      <c r="C134" s="57" t="s">
        <v>2270</v>
      </c>
      <c r="D134" s="59" t="s">
        <v>2271</v>
      </c>
      <c r="E134" s="57" t="s">
        <v>2272</v>
      </c>
      <c r="F134" s="57">
        <v>179.93</v>
      </c>
      <c r="G134" s="57">
        <v>3.0988000000000002</v>
      </c>
      <c r="H134" s="57">
        <v>179.92920000000001</v>
      </c>
      <c r="I134" s="57">
        <v>181.92619999999999</v>
      </c>
      <c r="J134" s="57">
        <v>183.92330000000001</v>
      </c>
      <c r="K134" s="57">
        <v>172.9666</v>
      </c>
      <c r="L134" s="75" t="s">
        <v>3442</v>
      </c>
      <c r="M134" s="75" t="s">
        <v>3442</v>
      </c>
    </row>
    <row r="135" spans="1:13" x14ac:dyDescent="0.2">
      <c r="A135" s="54">
        <v>134</v>
      </c>
      <c r="B135" s="57" t="s">
        <v>1</v>
      </c>
      <c r="C135" s="57" t="s">
        <v>2963</v>
      </c>
      <c r="D135" s="59" t="s">
        <v>1</v>
      </c>
      <c r="E135" s="57" t="s">
        <v>1</v>
      </c>
      <c r="F135" s="57" t="s">
        <v>1</v>
      </c>
      <c r="G135" s="57">
        <v>3.0962999999999998</v>
      </c>
      <c r="H135" s="57">
        <v>179.92949999999999</v>
      </c>
      <c r="I135" s="57">
        <v>181.9264</v>
      </c>
      <c r="J135" s="57">
        <v>183.92339999999999</v>
      </c>
      <c r="K135" s="57">
        <v>172.9666</v>
      </c>
      <c r="L135" s="75">
        <v>0</v>
      </c>
      <c r="M135" s="75" t="s">
        <v>1</v>
      </c>
    </row>
    <row r="136" spans="1:13" x14ac:dyDescent="0.2">
      <c r="A136" s="54">
        <v>135</v>
      </c>
      <c r="B136" s="57">
        <v>99</v>
      </c>
      <c r="C136" s="57" t="s">
        <v>2929</v>
      </c>
      <c r="D136" s="59" t="s">
        <v>3298</v>
      </c>
      <c r="E136" s="57" t="s">
        <v>504</v>
      </c>
      <c r="F136" s="57">
        <v>161.9639</v>
      </c>
      <c r="G136" s="57">
        <v>3.0640000000000001</v>
      </c>
      <c r="H136" s="57">
        <v>161.96340000000001</v>
      </c>
      <c r="I136" s="57">
        <v>179.92930000000001</v>
      </c>
      <c r="J136" s="57">
        <v>181.9263</v>
      </c>
      <c r="K136" s="57">
        <v>163.96019999999999</v>
      </c>
      <c r="L136" s="75" t="s">
        <v>503</v>
      </c>
      <c r="M136" s="75" t="s">
        <v>503</v>
      </c>
    </row>
    <row r="137" spans="1:13" x14ac:dyDescent="0.2">
      <c r="A137" s="54">
        <v>136</v>
      </c>
      <c r="B137" s="57" t="s">
        <v>1</v>
      </c>
      <c r="C137" s="57" t="s">
        <v>2323</v>
      </c>
      <c r="D137" s="59" t="s">
        <v>1</v>
      </c>
      <c r="E137" s="57" t="s">
        <v>1</v>
      </c>
      <c r="F137" s="57" t="s">
        <v>1</v>
      </c>
      <c r="G137" s="57">
        <v>9.8508999999999993</v>
      </c>
      <c r="H137" s="57">
        <v>161.9633</v>
      </c>
      <c r="I137" s="57">
        <v>163.96029999999999</v>
      </c>
      <c r="J137" s="57">
        <v>97.991900000000001</v>
      </c>
      <c r="K137" s="57">
        <v>165.95750000000001</v>
      </c>
      <c r="L137" s="75">
        <v>0</v>
      </c>
      <c r="M137" s="75" t="s">
        <v>1</v>
      </c>
    </row>
    <row r="138" spans="1:13" x14ac:dyDescent="0.2">
      <c r="A138" s="54">
        <v>137</v>
      </c>
      <c r="B138" s="57">
        <v>100</v>
      </c>
      <c r="C138" s="57" t="s">
        <v>2070</v>
      </c>
      <c r="D138" s="59" t="s">
        <v>2071</v>
      </c>
      <c r="E138" s="57" t="s">
        <v>2072</v>
      </c>
      <c r="F138" s="57">
        <v>435.93869999999998</v>
      </c>
      <c r="G138" s="57">
        <v>8.7807999999999993</v>
      </c>
      <c r="H138" s="57">
        <v>366.94299999999998</v>
      </c>
      <c r="I138" s="57">
        <v>368.94</v>
      </c>
      <c r="J138" s="57">
        <v>367.94650000000001</v>
      </c>
      <c r="K138" s="57">
        <v>369.94389999999999</v>
      </c>
      <c r="L138" s="75" t="s">
        <v>3458</v>
      </c>
      <c r="M138" s="75" t="s">
        <v>3458</v>
      </c>
    </row>
    <row r="139" spans="1:13" x14ac:dyDescent="0.2">
      <c r="A139" s="54">
        <v>138</v>
      </c>
      <c r="B139" s="57">
        <v>101</v>
      </c>
      <c r="C139" s="57" t="s">
        <v>2256</v>
      </c>
      <c r="D139" s="59" t="s">
        <v>3299</v>
      </c>
      <c r="E139" s="57" t="s">
        <v>354</v>
      </c>
      <c r="F139" s="57">
        <v>182.03280000000001</v>
      </c>
      <c r="G139" s="57">
        <v>4.6809000000000003</v>
      </c>
      <c r="H139" s="57">
        <v>165.02940000000001</v>
      </c>
      <c r="I139" s="57">
        <v>119.0367</v>
      </c>
      <c r="J139" s="57">
        <v>90.034099999999995</v>
      </c>
      <c r="K139" s="57">
        <v>89.042000000000002</v>
      </c>
      <c r="L139" s="75" t="s">
        <v>352</v>
      </c>
      <c r="M139" s="75" t="s">
        <v>352</v>
      </c>
    </row>
    <row r="140" spans="1:13" x14ac:dyDescent="0.2">
      <c r="A140" s="54">
        <v>139</v>
      </c>
      <c r="B140" s="57" t="s">
        <v>1</v>
      </c>
      <c r="C140" s="57" t="s">
        <v>2935</v>
      </c>
      <c r="D140" s="59" t="s">
        <v>1</v>
      </c>
      <c r="E140" s="57" t="s">
        <v>1</v>
      </c>
      <c r="F140" s="57" t="s">
        <v>1</v>
      </c>
      <c r="G140" s="57">
        <v>5.0621</v>
      </c>
      <c r="H140" s="57">
        <v>182.03210000000001</v>
      </c>
      <c r="I140" s="57">
        <v>165.02930000000001</v>
      </c>
      <c r="J140" s="57">
        <v>119.0365</v>
      </c>
      <c r="K140" s="57">
        <v>108.0205</v>
      </c>
      <c r="L140" s="75">
        <v>0</v>
      </c>
      <c r="M140" s="75" t="s">
        <v>1</v>
      </c>
    </row>
    <row r="141" spans="1:13" x14ac:dyDescent="0.2">
      <c r="A141" s="54">
        <v>140</v>
      </c>
      <c r="B141" s="57">
        <v>102</v>
      </c>
      <c r="C141" s="57" t="s">
        <v>3067</v>
      </c>
      <c r="D141" s="59" t="s">
        <v>1186</v>
      </c>
      <c r="E141" s="57" t="s">
        <v>80</v>
      </c>
      <c r="F141" s="57">
        <v>166.06299999999999</v>
      </c>
      <c r="G141" s="57">
        <v>5.0103999999999997</v>
      </c>
      <c r="H141" s="57">
        <v>166.06229999999999</v>
      </c>
      <c r="I141" s="57">
        <v>137.0386</v>
      </c>
      <c r="J141" s="57">
        <v>168.05690000000001</v>
      </c>
      <c r="K141" s="57">
        <v>138.0676</v>
      </c>
      <c r="L141" s="75" t="s">
        <v>19</v>
      </c>
      <c r="M141" s="75" t="s">
        <v>19</v>
      </c>
    </row>
    <row r="142" spans="1:13" x14ac:dyDescent="0.2">
      <c r="A142" s="54">
        <v>141</v>
      </c>
      <c r="B142" s="57">
        <v>103</v>
      </c>
      <c r="C142" s="57" t="s">
        <v>2984</v>
      </c>
      <c r="D142" s="59" t="s">
        <v>1204</v>
      </c>
      <c r="E142" s="57" t="s">
        <v>71</v>
      </c>
      <c r="F142" s="57">
        <v>152.04730000000001</v>
      </c>
      <c r="G142" s="57">
        <v>4.3723000000000001</v>
      </c>
      <c r="H142" s="57">
        <v>152.04679999999999</v>
      </c>
      <c r="I142" s="57">
        <v>151.03909999999999</v>
      </c>
      <c r="J142" s="57">
        <v>123.0441</v>
      </c>
      <c r="K142" s="57">
        <v>109.0286</v>
      </c>
      <c r="L142" s="75" t="s">
        <v>31</v>
      </c>
      <c r="M142" s="75" t="s">
        <v>31</v>
      </c>
    </row>
    <row r="143" spans="1:13" x14ac:dyDescent="0.2">
      <c r="A143" s="54">
        <v>142</v>
      </c>
      <c r="B143" s="57">
        <v>104</v>
      </c>
      <c r="C143" s="57" t="s">
        <v>2184</v>
      </c>
      <c r="D143" s="59" t="s">
        <v>2185</v>
      </c>
      <c r="E143" s="57" t="s">
        <v>669</v>
      </c>
      <c r="F143" s="57">
        <v>330.03609999999998</v>
      </c>
      <c r="G143" s="57">
        <v>7.8235000000000001</v>
      </c>
      <c r="H143" s="57">
        <v>93.01</v>
      </c>
      <c r="I143" s="57">
        <v>124.9821</v>
      </c>
      <c r="J143" s="57">
        <v>127.039</v>
      </c>
      <c r="K143" s="57">
        <v>173.08080000000001</v>
      </c>
      <c r="L143" s="75" t="s">
        <v>668</v>
      </c>
      <c r="M143" s="75" t="s">
        <v>668</v>
      </c>
    </row>
    <row r="144" spans="1:13" x14ac:dyDescent="0.2">
      <c r="A144" s="54">
        <v>143</v>
      </c>
      <c r="B144" s="57">
        <v>105</v>
      </c>
      <c r="C144" s="57" t="s">
        <v>2060</v>
      </c>
      <c r="D144" s="59" t="s">
        <v>2061</v>
      </c>
      <c r="E144" s="57" t="s">
        <v>991</v>
      </c>
      <c r="F144" s="57">
        <v>225.1266</v>
      </c>
      <c r="G144" s="57">
        <v>8.7078000000000007</v>
      </c>
      <c r="H144" s="57">
        <v>225.1266</v>
      </c>
      <c r="I144" s="57">
        <v>224.1183</v>
      </c>
      <c r="J144" s="57">
        <v>225.1293</v>
      </c>
      <c r="K144" s="57">
        <v>209.095</v>
      </c>
      <c r="L144" s="75" t="s">
        <v>400</v>
      </c>
      <c r="M144" s="75" t="s">
        <v>400</v>
      </c>
    </row>
    <row r="145" spans="1:13" x14ac:dyDescent="0.2">
      <c r="A145" s="54">
        <v>144</v>
      </c>
      <c r="B145" s="57">
        <v>106</v>
      </c>
      <c r="C145" s="57" t="s">
        <v>1860</v>
      </c>
      <c r="D145" s="59" t="s">
        <v>1861</v>
      </c>
      <c r="E145" s="57" t="s">
        <v>1862</v>
      </c>
      <c r="F145" s="57">
        <v>277.01740000000001</v>
      </c>
      <c r="G145" s="57">
        <v>7.7035</v>
      </c>
      <c r="H145" s="57">
        <v>277.01690000000002</v>
      </c>
      <c r="I145" s="57">
        <v>260.01420000000002</v>
      </c>
      <c r="J145" s="57">
        <v>261.01760000000002</v>
      </c>
      <c r="K145" s="57">
        <v>278.02010000000001</v>
      </c>
      <c r="L145" s="75" t="s">
        <v>3527</v>
      </c>
      <c r="M145" s="75" t="s">
        <v>3527</v>
      </c>
    </row>
    <row r="146" spans="1:13" ht="25" x14ac:dyDescent="0.2">
      <c r="A146" s="54">
        <v>145</v>
      </c>
      <c r="B146" s="57">
        <v>107</v>
      </c>
      <c r="C146" s="57" t="s">
        <v>1954</v>
      </c>
      <c r="D146" s="59" t="s">
        <v>3260</v>
      </c>
      <c r="E146" s="57" t="s">
        <v>496</v>
      </c>
      <c r="F146" s="57">
        <v>169.0891</v>
      </c>
      <c r="G146" s="57">
        <v>5.5407999999999999</v>
      </c>
      <c r="H146" s="57">
        <v>169.08850000000001</v>
      </c>
      <c r="I146" s="57">
        <v>168.08080000000001</v>
      </c>
      <c r="J146" s="57">
        <v>167.07329999999999</v>
      </c>
      <c r="K146" s="57">
        <v>170.09209999999999</v>
      </c>
      <c r="L146" s="75"/>
      <c r="M146" s="74" t="s">
        <v>3641</v>
      </c>
    </row>
    <row r="147" spans="1:13" x14ac:dyDescent="0.2">
      <c r="A147" s="54">
        <v>146</v>
      </c>
      <c r="B147" s="57">
        <v>108</v>
      </c>
      <c r="C147" s="57" t="s">
        <v>2058</v>
      </c>
      <c r="D147" s="59" t="s">
        <v>2059</v>
      </c>
      <c r="E147" s="57" t="s">
        <v>612</v>
      </c>
      <c r="F147" s="57">
        <v>405.96949999999998</v>
      </c>
      <c r="G147" s="57">
        <v>5.9467999999999996</v>
      </c>
      <c r="H147" s="57">
        <v>247.98320000000001</v>
      </c>
      <c r="I147" s="57">
        <v>246.97540000000001</v>
      </c>
      <c r="J147" s="57">
        <v>249.98089999999999</v>
      </c>
      <c r="K147" s="57">
        <v>250.98429999999999</v>
      </c>
      <c r="L147" s="75" t="s">
        <v>611</v>
      </c>
      <c r="M147" s="75" t="s">
        <v>611</v>
      </c>
    </row>
    <row r="148" spans="1:13" x14ac:dyDescent="0.2">
      <c r="A148" s="54">
        <v>147</v>
      </c>
      <c r="B148" s="57">
        <v>109</v>
      </c>
      <c r="C148" s="57" t="s">
        <v>2515</v>
      </c>
      <c r="D148" s="59" t="s">
        <v>3150</v>
      </c>
      <c r="E148" s="57" t="s">
        <v>849</v>
      </c>
      <c r="F148" s="57">
        <v>431.0564</v>
      </c>
      <c r="G148" s="57">
        <v>14.105700000000001</v>
      </c>
      <c r="H148" s="57">
        <v>155.0257</v>
      </c>
      <c r="I148" s="57">
        <v>150.04400000000001</v>
      </c>
      <c r="J148" s="57">
        <v>167.05529999999999</v>
      </c>
      <c r="K148" s="57">
        <v>151.04179999999999</v>
      </c>
      <c r="L148" s="75" t="s">
        <v>848</v>
      </c>
      <c r="M148" s="75" t="s">
        <v>848</v>
      </c>
    </row>
    <row r="149" spans="1:13" x14ac:dyDescent="0.2">
      <c r="A149" s="54">
        <v>148</v>
      </c>
      <c r="B149" s="57">
        <v>110</v>
      </c>
      <c r="C149" s="57" t="s">
        <v>2783</v>
      </c>
      <c r="D149" s="59" t="s">
        <v>1181</v>
      </c>
      <c r="E149" s="57" t="s">
        <v>110</v>
      </c>
      <c r="F149" s="57">
        <v>186.16200000000001</v>
      </c>
      <c r="G149" s="57">
        <v>7.9785000000000004</v>
      </c>
      <c r="H149" s="57">
        <v>186.16130000000001</v>
      </c>
      <c r="I149" s="57">
        <v>87.0441</v>
      </c>
      <c r="J149" s="57">
        <v>129.09110000000001</v>
      </c>
      <c r="K149" s="57">
        <v>115.0754</v>
      </c>
      <c r="L149" s="75" t="s">
        <v>109</v>
      </c>
      <c r="M149" s="75" t="s">
        <v>109</v>
      </c>
    </row>
    <row r="150" spans="1:13" x14ac:dyDescent="0.2">
      <c r="A150" s="54">
        <v>149</v>
      </c>
      <c r="B150" s="57">
        <v>111</v>
      </c>
      <c r="C150" s="57" t="s">
        <v>2776</v>
      </c>
      <c r="D150" s="59" t="s">
        <v>1174</v>
      </c>
      <c r="E150" s="57" t="s">
        <v>84</v>
      </c>
      <c r="F150" s="57">
        <v>144.11500000000001</v>
      </c>
      <c r="G150" s="57">
        <v>7.9806999999999997</v>
      </c>
      <c r="H150" s="57">
        <v>144.11429999999999</v>
      </c>
      <c r="I150" s="57">
        <v>97.101100000000002</v>
      </c>
      <c r="J150" s="57">
        <v>98.104399999999998</v>
      </c>
      <c r="K150" s="57">
        <v>101.0596</v>
      </c>
      <c r="L150" s="75" t="s">
        <v>83</v>
      </c>
      <c r="M150" s="75" t="s">
        <v>83</v>
      </c>
    </row>
    <row r="151" spans="1:13" x14ac:dyDescent="0.2">
      <c r="A151" s="54">
        <v>150</v>
      </c>
      <c r="B151" s="57" t="s">
        <v>1</v>
      </c>
      <c r="C151" s="57" t="s">
        <v>2777</v>
      </c>
      <c r="D151" s="59" t="s">
        <v>1</v>
      </c>
      <c r="E151" s="57" t="s">
        <v>1</v>
      </c>
      <c r="F151" s="57" t="s">
        <v>1</v>
      </c>
      <c r="G151" s="57">
        <v>5.3230000000000004</v>
      </c>
      <c r="H151" s="57">
        <v>144.11429999999999</v>
      </c>
      <c r="I151" s="57">
        <v>97.101100000000002</v>
      </c>
      <c r="J151" s="57">
        <v>98.104399999999998</v>
      </c>
      <c r="K151" s="57">
        <v>101.0596</v>
      </c>
      <c r="L151" s="75">
        <v>0</v>
      </c>
      <c r="M151" s="75" t="s">
        <v>1</v>
      </c>
    </row>
    <row r="152" spans="1:13" x14ac:dyDescent="0.2">
      <c r="A152" s="54">
        <v>151</v>
      </c>
      <c r="B152" s="57">
        <v>112</v>
      </c>
      <c r="C152" s="57" t="s">
        <v>2791</v>
      </c>
      <c r="D152" s="59" t="s">
        <v>1140</v>
      </c>
      <c r="E152" s="57" t="s">
        <v>132</v>
      </c>
      <c r="F152" s="57">
        <v>256.24020000000002</v>
      </c>
      <c r="G152" s="57">
        <v>7.9785000000000004</v>
      </c>
      <c r="H152" s="57">
        <v>256.24009999999998</v>
      </c>
      <c r="I152" s="57">
        <v>213.18510000000001</v>
      </c>
      <c r="J152" s="57">
        <v>199.1694</v>
      </c>
      <c r="K152" s="57">
        <v>227.20079999999999</v>
      </c>
      <c r="L152" s="75" t="s">
        <v>131</v>
      </c>
      <c r="M152" s="75" t="s">
        <v>131</v>
      </c>
    </row>
    <row r="153" spans="1:13" x14ac:dyDescent="0.2">
      <c r="A153" s="54">
        <v>152</v>
      </c>
      <c r="B153" s="57">
        <v>113</v>
      </c>
      <c r="C153" s="57" t="s">
        <v>2566</v>
      </c>
      <c r="D153" s="59" t="s">
        <v>3300</v>
      </c>
      <c r="E153" s="57" t="s">
        <v>433</v>
      </c>
      <c r="F153" s="57">
        <v>205.8134</v>
      </c>
      <c r="G153" s="57">
        <v>14.2966</v>
      </c>
      <c r="H153" s="57">
        <v>129.03360000000001</v>
      </c>
      <c r="I153" s="57">
        <v>92.810299999999998</v>
      </c>
      <c r="J153" s="57">
        <v>93.956100000000006</v>
      </c>
      <c r="K153" s="57">
        <v>128.0137</v>
      </c>
      <c r="L153" s="75" t="s">
        <v>432</v>
      </c>
      <c r="M153" s="75" t="s">
        <v>432</v>
      </c>
    </row>
    <row r="154" spans="1:13" x14ac:dyDescent="0.2">
      <c r="A154" s="54">
        <v>153</v>
      </c>
      <c r="B154" s="57">
        <v>114</v>
      </c>
      <c r="C154" s="57" t="s">
        <v>2395</v>
      </c>
      <c r="D154" s="59" t="s">
        <v>3261</v>
      </c>
      <c r="E154" s="57" t="s">
        <v>256</v>
      </c>
      <c r="F154" s="57">
        <v>362.16469999999998</v>
      </c>
      <c r="G154" s="57">
        <v>12.804</v>
      </c>
      <c r="H154" s="57">
        <v>362.16430000000003</v>
      </c>
      <c r="I154" s="57">
        <v>251.04730000000001</v>
      </c>
      <c r="J154" s="57">
        <v>249.0318</v>
      </c>
      <c r="K154" s="57">
        <v>252.0505</v>
      </c>
      <c r="L154" s="75" t="s">
        <v>255</v>
      </c>
      <c r="M154" s="75" t="s">
        <v>255</v>
      </c>
    </row>
    <row r="155" spans="1:13" x14ac:dyDescent="0.2">
      <c r="A155" s="54">
        <v>154</v>
      </c>
      <c r="B155" s="57">
        <v>115</v>
      </c>
      <c r="C155" s="57" t="s">
        <v>2393</v>
      </c>
      <c r="D155" s="59" t="s">
        <v>3301</v>
      </c>
      <c r="E155" s="57" t="s">
        <v>258</v>
      </c>
      <c r="F155" s="57">
        <v>266.16469999999998</v>
      </c>
      <c r="G155" s="57">
        <v>19.248899999999999</v>
      </c>
      <c r="H155" s="57">
        <v>211.14850000000001</v>
      </c>
      <c r="I155" s="57">
        <v>155.0857</v>
      </c>
      <c r="J155" s="57">
        <v>152.06219999999999</v>
      </c>
      <c r="K155" s="57">
        <v>125.1327</v>
      </c>
      <c r="L155" s="75" t="s">
        <v>257</v>
      </c>
      <c r="M155" s="75" t="s">
        <v>257</v>
      </c>
    </row>
    <row r="156" spans="1:13" x14ac:dyDescent="0.2">
      <c r="A156" s="54">
        <v>155</v>
      </c>
      <c r="B156" s="57">
        <v>116</v>
      </c>
      <c r="C156" s="57" t="s">
        <v>2520</v>
      </c>
      <c r="D156" s="59" t="s">
        <v>2521</v>
      </c>
      <c r="E156" s="57" t="s">
        <v>2522</v>
      </c>
      <c r="F156" s="57">
        <v>492.10390000000001</v>
      </c>
      <c r="G156" s="57">
        <v>19.0639</v>
      </c>
      <c r="H156" s="57">
        <v>492.10509999999999</v>
      </c>
      <c r="I156" s="57">
        <v>327.31420000000003</v>
      </c>
      <c r="J156" s="57">
        <v>328.21319999999997</v>
      </c>
      <c r="K156" s="57">
        <v>325.0566</v>
      </c>
      <c r="L156" s="75" t="s">
        <v>3519</v>
      </c>
      <c r="M156" s="75" t="s">
        <v>3519</v>
      </c>
    </row>
    <row r="157" spans="1:13" x14ac:dyDescent="0.2">
      <c r="A157" s="54">
        <v>156</v>
      </c>
      <c r="B157" s="57">
        <v>117</v>
      </c>
      <c r="C157" s="57" t="s">
        <v>2627</v>
      </c>
      <c r="D157" s="59" t="s">
        <v>2628</v>
      </c>
      <c r="E157" s="57" t="s">
        <v>2629</v>
      </c>
      <c r="F157" s="57">
        <v>163.87540000000001</v>
      </c>
      <c r="G157" s="57">
        <v>3.2932000000000001</v>
      </c>
      <c r="H157" s="57">
        <v>163.87479999999999</v>
      </c>
      <c r="I157" s="57">
        <v>165.87190000000001</v>
      </c>
      <c r="J157" s="57">
        <v>167.869</v>
      </c>
      <c r="K157" s="57">
        <v>128.90600000000001</v>
      </c>
      <c r="L157" s="75"/>
      <c r="M157" s="75" t="s">
        <v>3611</v>
      </c>
    </row>
    <row r="158" spans="1:13" x14ac:dyDescent="0.2">
      <c r="A158" s="54">
        <v>157</v>
      </c>
      <c r="B158" s="57">
        <v>118</v>
      </c>
      <c r="C158" s="57" t="s">
        <v>2124</v>
      </c>
      <c r="D158" s="59" t="s">
        <v>2125</v>
      </c>
      <c r="E158" s="57" t="s">
        <v>2126</v>
      </c>
      <c r="F158" s="57">
        <v>411.03640000000001</v>
      </c>
      <c r="G158" s="57">
        <v>11.721299999999999</v>
      </c>
      <c r="H158" s="57">
        <v>411.03590000000003</v>
      </c>
      <c r="I158" s="57">
        <v>312.05950000000001</v>
      </c>
      <c r="J158" s="57">
        <v>310.01960000000003</v>
      </c>
      <c r="K158" s="57">
        <v>330.0258</v>
      </c>
      <c r="L158" s="75" t="s">
        <v>3415</v>
      </c>
      <c r="M158" s="75" t="s">
        <v>3415</v>
      </c>
    </row>
    <row r="159" spans="1:13" x14ac:dyDescent="0.2">
      <c r="A159" s="54">
        <v>158</v>
      </c>
      <c r="B159" s="57">
        <v>119</v>
      </c>
      <c r="C159" s="57" t="s">
        <v>2962</v>
      </c>
      <c r="D159" s="59" t="s">
        <v>1094</v>
      </c>
      <c r="E159" s="57" t="s">
        <v>449</v>
      </c>
      <c r="F159" s="57">
        <v>202.07830000000001</v>
      </c>
      <c r="G159" s="57">
        <v>9.4481000000000002</v>
      </c>
      <c r="H159" s="57">
        <v>202.07759999999999</v>
      </c>
      <c r="I159" s="57">
        <v>200.06209999999999</v>
      </c>
      <c r="J159" s="57">
        <v>203.08090000000001</v>
      </c>
      <c r="K159" s="57">
        <v>201.06970000000001</v>
      </c>
      <c r="L159" s="75" t="s">
        <v>448</v>
      </c>
      <c r="M159" s="75" t="s">
        <v>448</v>
      </c>
    </row>
    <row r="160" spans="1:13" x14ac:dyDescent="0.2">
      <c r="A160" s="54">
        <v>159</v>
      </c>
      <c r="B160" s="57" t="s">
        <v>1</v>
      </c>
      <c r="C160" s="57" t="s">
        <v>2316</v>
      </c>
      <c r="D160" s="59" t="s">
        <v>1</v>
      </c>
      <c r="E160" s="57" t="s">
        <v>1</v>
      </c>
      <c r="F160" s="57" t="s">
        <v>1</v>
      </c>
      <c r="G160" s="57">
        <v>9.4885000000000002</v>
      </c>
      <c r="H160" s="57">
        <v>202.07759999999999</v>
      </c>
      <c r="I160" s="57">
        <v>200.0624</v>
      </c>
      <c r="J160" s="57">
        <v>203.0812</v>
      </c>
      <c r="K160" s="57">
        <v>201.07</v>
      </c>
      <c r="L160" s="75">
        <v>0</v>
      </c>
      <c r="M160" s="75" t="s">
        <v>1</v>
      </c>
    </row>
    <row r="161" spans="1:13" x14ac:dyDescent="0.2">
      <c r="A161" s="54">
        <v>160</v>
      </c>
      <c r="B161" s="57">
        <v>120</v>
      </c>
      <c r="C161" s="57" t="s">
        <v>2810</v>
      </c>
      <c r="D161" s="59" t="s">
        <v>2811</v>
      </c>
      <c r="E161" s="57" t="s">
        <v>537</v>
      </c>
      <c r="F161" s="57">
        <v>158.0368</v>
      </c>
      <c r="G161" s="57">
        <v>22.855399999999999</v>
      </c>
      <c r="H161" s="57">
        <v>158.03620000000001</v>
      </c>
      <c r="I161" s="57">
        <v>102.06310000000001</v>
      </c>
      <c r="J161" s="57">
        <v>132.02359999999999</v>
      </c>
      <c r="K161" s="57">
        <v>104.04949999999999</v>
      </c>
      <c r="L161" s="75" t="s">
        <v>536</v>
      </c>
      <c r="M161" s="75" t="s">
        <v>536</v>
      </c>
    </row>
    <row r="162" spans="1:13" x14ac:dyDescent="0.2">
      <c r="A162" s="54">
        <v>161</v>
      </c>
      <c r="B162" s="57">
        <v>121</v>
      </c>
      <c r="C162" s="57" t="s">
        <v>2200</v>
      </c>
      <c r="D162" s="59" t="s">
        <v>2201</v>
      </c>
      <c r="E162" s="57" t="s">
        <v>2202</v>
      </c>
      <c r="F162" s="57">
        <v>288.04410000000001</v>
      </c>
      <c r="G162" s="57">
        <v>6.4021999999999997</v>
      </c>
      <c r="H162" s="57">
        <v>288.04379999999998</v>
      </c>
      <c r="I162" s="57">
        <v>230.9735</v>
      </c>
      <c r="J162" s="57">
        <v>96.950699999999998</v>
      </c>
      <c r="K162" s="57">
        <v>174.91059999999999</v>
      </c>
      <c r="L162" s="75" t="s">
        <v>3534</v>
      </c>
      <c r="M162" s="75" t="s">
        <v>3534</v>
      </c>
    </row>
    <row r="163" spans="1:13" x14ac:dyDescent="0.2">
      <c r="A163" s="54">
        <v>162</v>
      </c>
      <c r="B163" s="57">
        <v>122</v>
      </c>
      <c r="C163" s="57" t="s">
        <v>2934</v>
      </c>
      <c r="D163" s="59" t="s">
        <v>3302</v>
      </c>
      <c r="E163" s="57" t="s">
        <v>260</v>
      </c>
      <c r="F163" s="57">
        <v>194.05789999999999</v>
      </c>
      <c r="G163" s="57">
        <v>6.7782</v>
      </c>
      <c r="H163" s="57">
        <v>194.05760000000001</v>
      </c>
      <c r="I163" s="57">
        <v>163.03899999999999</v>
      </c>
      <c r="J163" s="57">
        <v>166.04650000000001</v>
      </c>
      <c r="K163" s="57">
        <v>116.0621</v>
      </c>
      <c r="L163" s="75" t="s">
        <v>211</v>
      </c>
      <c r="M163" s="75" t="s">
        <v>211</v>
      </c>
    </row>
    <row r="164" spans="1:13" x14ac:dyDescent="0.2">
      <c r="A164" s="54">
        <v>163</v>
      </c>
      <c r="B164" s="57" t="s">
        <v>1</v>
      </c>
      <c r="C164" s="57" t="s">
        <v>2233</v>
      </c>
      <c r="D164" s="59" t="s">
        <v>1</v>
      </c>
      <c r="E164" s="57" t="s">
        <v>1</v>
      </c>
      <c r="F164" s="57" t="s">
        <v>1</v>
      </c>
      <c r="G164" s="57">
        <v>15.0571</v>
      </c>
      <c r="H164" s="57">
        <v>193.04810000000001</v>
      </c>
      <c r="I164" s="57">
        <v>138.14259999999999</v>
      </c>
      <c r="J164" s="57">
        <v>194.05629999999999</v>
      </c>
      <c r="K164" s="57">
        <v>192.04069999999999</v>
      </c>
      <c r="L164" s="75">
        <v>0</v>
      </c>
      <c r="M164" s="75" t="s">
        <v>1</v>
      </c>
    </row>
    <row r="165" spans="1:13" x14ac:dyDescent="0.2">
      <c r="A165" s="54">
        <v>164</v>
      </c>
      <c r="B165" s="57">
        <v>123</v>
      </c>
      <c r="C165" s="57" t="s">
        <v>2437</v>
      </c>
      <c r="D165" s="59" t="s">
        <v>3262</v>
      </c>
      <c r="E165" s="57" t="s">
        <v>50</v>
      </c>
      <c r="F165" s="57">
        <v>228.07859999999999</v>
      </c>
      <c r="G165" s="57">
        <v>8.5716999999999999</v>
      </c>
      <c r="H165" s="57">
        <v>227.0703</v>
      </c>
      <c r="I165" s="57">
        <v>151.03899999999999</v>
      </c>
      <c r="J165" s="57">
        <v>105.0448</v>
      </c>
      <c r="K165" s="57">
        <v>152.04220000000001</v>
      </c>
      <c r="L165" s="75" t="s">
        <v>27</v>
      </c>
      <c r="M165" s="75" t="s">
        <v>27</v>
      </c>
    </row>
    <row r="166" spans="1:13" x14ac:dyDescent="0.2">
      <c r="A166" s="54">
        <v>165</v>
      </c>
      <c r="B166" s="57">
        <v>124</v>
      </c>
      <c r="C166" s="57" t="s">
        <v>2528</v>
      </c>
      <c r="D166" s="59" t="s">
        <v>3263</v>
      </c>
      <c r="E166" s="57" t="s">
        <v>229</v>
      </c>
      <c r="F166" s="57">
        <v>222.08920000000001</v>
      </c>
      <c r="G166" s="57">
        <v>16.610199999999999</v>
      </c>
      <c r="H166" s="57">
        <v>149.01990000000001</v>
      </c>
      <c r="I166" s="57">
        <v>167.0341</v>
      </c>
      <c r="J166" s="57">
        <v>104.0257</v>
      </c>
      <c r="K166" s="57">
        <v>150.06780000000001</v>
      </c>
      <c r="L166" s="75" t="s">
        <v>217</v>
      </c>
      <c r="M166" s="75" t="s">
        <v>217</v>
      </c>
    </row>
    <row r="167" spans="1:13" x14ac:dyDescent="0.2">
      <c r="A167" s="54">
        <v>166</v>
      </c>
      <c r="B167" s="57">
        <v>125</v>
      </c>
      <c r="C167" s="57" t="s">
        <v>2145</v>
      </c>
      <c r="D167" s="59" t="s">
        <v>2146</v>
      </c>
      <c r="E167" s="57" t="s">
        <v>2147</v>
      </c>
      <c r="F167" s="57">
        <v>373.8877</v>
      </c>
      <c r="G167" s="57">
        <v>14.1012</v>
      </c>
      <c r="H167" s="57">
        <v>376.89789999999999</v>
      </c>
      <c r="I167" s="57">
        <v>378.89530000000002</v>
      </c>
      <c r="J167" s="57">
        <v>377.90140000000002</v>
      </c>
      <c r="K167" s="57">
        <v>375.90309999999999</v>
      </c>
      <c r="L167" s="75" t="s">
        <v>3403</v>
      </c>
      <c r="M167" s="75" t="s">
        <v>3403</v>
      </c>
    </row>
    <row r="168" spans="1:13" x14ac:dyDescent="0.2">
      <c r="A168" s="54">
        <v>167</v>
      </c>
      <c r="B168" s="57">
        <v>126</v>
      </c>
      <c r="C168" s="57" t="s">
        <v>2073</v>
      </c>
      <c r="D168" s="59" t="s">
        <v>2074</v>
      </c>
      <c r="E168" s="57" t="s">
        <v>926</v>
      </c>
      <c r="F168" s="57">
        <v>248.03970000000001</v>
      </c>
      <c r="G168" s="57">
        <v>10.0787</v>
      </c>
      <c r="H168" s="57">
        <v>248.03890000000001</v>
      </c>
      <c r="I168" s="57">
        <v>127.0416</v>
      </c>
      <c r="J168" s="57">
        <v>182.04750000000001</v>
      </c>
      <c r="K168" s="57">
        <v>249.0427</v>
      </c>
      <c r="L168" s="75" t="s">
        <v>925</v>
      </c>
      <c r="M168" s="75" t="s">
        <v>925</v>
      </c>
    </row>
    <row r="169" spans="1:13" x14ac:dyDescent="0.2">
      <c r="A169" s="54">
        <v>168</v>
      </c>
      <c r="B169" s="57">
        <v>127</v>
      </c>
      <c r="C169" s="57" t="s">
        <v>3026</v>
      </c>
      <c r="D169" s="59" t="s">
        <v>3027</v>
      </c>
      <c r="E169" s="57" t="s">
        <v>3028</v>
      </c>
      <c r="F169" s="57">
        <v>242.0564</v>
      </c>
      <c r="G169" s="57">
        <v>5.5580999999999996</v>
      </c>
      <c r="H169" s="57">
        <v>242.05430000000001</v>
      </c>
      <c r="I169" s="57">
        <v>240.0573</v>
      </c>
      <c r="J169" s="57">
        <v>241.0607</v>
      </c>
      <c r="K169" s="57">
        <v>243.05760000000001</v>
      </c>
      <c r="L169" s="75" t="s">
        <v>3535</v>
      </c>
      <c r="M169" s="75" t="s">
        <v>3535</v>
      </c>
    </row>
    <row r="170" spans="1:13" x14ac:dyDescent="0.2">
      <c r="A170" s="54">
        <v>169</v>
      </c>
      <c r="B170" s="57">
        <v>128</v>
      </c>
      <c r="C170" s="57" t="s">
        <v>2283</v>
      </c>
      <c r="D170" s="59" t="s">
        <v>1037</v>
      </c>
      <c r="E170" s="57" t="s">
        <v>514</v>
      </c>
      <c r="F170" s="57">
        <v>168.0575</v>
      </c>
      <c r="G170" s="57">
        <v>8.7505000000000006</v>
      </c>
      <c r="H170" s="57">
        <v>168.05690000000001</v>
      </c>
      <c r="I170" s="57">
        <v>139.05430000000001</v>
      </c>
      <c r="J170" s="57">
        <v>169.06020000000001</v>
      </c>
      <c r="K170" s="57">
        <v>92.025700000000001</v>
      </c>
      <c r="L170" s="75" t="s">
        <v>513</v>
      </c>
      <c r="M170" s="75" t="s">
        <v>513</v>
      </c>
    </row>
    <row r="171" spans="1:13" x14ac:dyDescent="0.2">
      <c r="A171" s="54">
        <v>170</v>
      </c>
      <c r="B171" s="57" t="s">
        <v>1</v>
      </c>
      <c r="C171" s="57" t="s">
        <v>2284</v>
      </c>
      <c r="D171" s="59" t="s">
        <v>1</v>
      </c>
      <c r="E171" s="57" t="s">
        <v>1</v>
      </c>
      <c r="F171" s="57" t="s">
        <v>1</v>
      </c>
      <c r="G171" s="57">
        <v>8.9436999999999998</v>
      </c>
      <c r="H171" s="57">
        <v>168.05690000000001</v>
      </c>
      <c r="I171" s="57">
        <v>139.05430000000001</v>
      </c>
      <c r="J171" s="57">
        <v>169.06020000000001</v>
      </c>
      <c r="K171" s="57">
        <v>92.025700000000001</v>
      </c>
      <c r="L171" s="75">
        <v>0</v>
      </c>
      <c r="M171" s="75" t="s">
        <v>1</v>
      </c>
    </row>
    <row r="172" spans="1:13" x14ac:dyDescent="0.2">
      <c r="A172" s="54">
        <v>171</v>
      </c>
      <c r="B172" s="57" t="s">
        <v>1</v>
      </c>
      <c r="C172" s="57" t="s">
        <v>2285</v>
      </c>
      <c r="D172" s="59" t="s">
        <v>1</v>
      </c>
      <c r="E172" s="57" t="s">
        <v>1</v>
      </c>
      <c r="F172" s="57" t="s">
        <v>1</v>
      </c>
      <c r="G172" s="57">
        <v>9.1820000000000004</v>
      </c>
      <c r="H172" s="57">
        <v>168.05690000000001</v>
      </c>
      <c r="I172" s="57">
        <v>139.05430000000001</v>
      </c>
      <c r="J172" s="57">
        <v>169.06020000000001</v>
      </c>
      <c r="K172" s="57">
        <v>92.025700000000001</v>
      </c>
      <c r="L172" s="75">
        <v>0</v>
      </c>
      <c r="M172" s="75" t="s">
        <v>1</v>
      </c>
    </row>
    <row r="173" spans="1:13" x14ac:dyDescent="0.2">
      <c r="A173" s="54">
        <v>172</v>
      </c>
      <c r="B173" s="57" t="s">
        <v>1</v>
      </c>
      <c r="C173" s="57" t="s">
        <v>2927</v>
      </c>
      <c r="D173" s="59" t="s">
        <v>1</v>
      </c>
      <c r="E173" s="57" t="s">
        <v>1</v>
      </c>
      <c r="F173" s="57" t="s">
        <v>1</v>
      </c>
      <c r="G173" s="57">
        <v>5.0284000000000004</v>
      </c>
      <c r="H173" s="57">
        <v>168.05670000000001</v>
      </c>
      <c r="I173" s="57">
        <v>139.054</v>
      </c>
      <c r="J173" s="57">
        <v>165.02940000000001</v>
      </c>
      <c r="K173" s="57">
        <v>169.0599</v>
      </c>
      <c r="L173" s="75">
        <v>0</v>
      </c>
      <c r="M173" s="75" t="s">
        <v>1</v>
      </c>
    </row>
    <row r="174" spans="1:13" x14ac:dyDescent="0.2">
      <c r="A174" s="54">
        <v>173</v>
      </c>
      <c r="B174" s="57">
        <v>129</v>
      </c>
      <c r="C174" s="57" t="s">
        <v>2057</v>
      </c>
      <c r="D174" s="59" t="s">
        <v>1206</v>
      </c>
      <c r="E174" s="57" t="s">
        <v>945</v>
      </c>
      <c r="F174" s="57">
        <v>298.9341</v>
      </c>
      <c r="G174" s="57">
        <v>4.6553000000000004</v>
      </c>
      <c r="H174" s="57">
        <v>298.93439999999998</v>
      </c>
      <c r="I174" s="57">
        <v>149.0444</v>
      </c>
      <c r="J174" s="57">
        <v>147.0651</v>
      </c>
      <c r="K174" s="57">
        <v>150.04400000000001</v>
      </c>
      <c r="L174" s="75" t="s">
        <v>944</v>
      </c>
      <c r="M174" s="75" t="s">
        <v>944</v>
      </c>
    </row>
    <row r="175" spans="1:13" x14ac:dyDescent="0.2">
      <c r="A175" s="54">
        <v>174</v>
      </c>
      <c r="B175" s="57">
        <v>130</v>
      </c>
      <c r="C175" s="57" t="s">
        <v>2080</v>
      </c>
      <c r="D175" s="59" t="s">
        <v>2081</v>
      </c>
      <c r="E175" s="57" t="s">
        <v>949</v>
      </c>
      <c r="F175" s="57">
        <v>294.90280000000001</v>
      </c>
      <c r="G175" s="57">
        <v>12.8512</v>
      </c>
      <c r="H175" s="57">
        <v>260.02409999999998</v>
      </c>
      <c r="I175" s="57">
        <v>293.0326</v>
      </c>
      <c r="J175" s="57">
        <v>292.02910000000003</v>
      </c>
      <c r="K175" s="57">
        <v>104.04949999999999</v>
      </c>
      <c r="L175" s="75" t="s">
        <v>948</v>
      </c>
      <c r="M175" s="75" t="s">
        <v>948</v>
      </c>
    </row>
    <row r="176" spans="1:13" x14ac:dyDescent="0.2">
      <c r="A176" s="54">
        <v>175</v>
      </c>
      <c r="B176" s="57">
        <v>131</v>
      </c>
      <c r="C176" s="57" t="s">
        <v>2352</v>
      </c>
      <c r="D176" s="59" t="s">
        <v>2353</v>
      </c>
      <c r="E176" s="57" t="s">
        <v>2354</v>
      </c>
      <c r="F176" s="57">
        <v>204.96969999999999</v>
      </c>
      <c r="G176" s="57">
        <v>12.763</v>
      </c>
      <c r="H176" s="57">
        <v>204.9692</v>
      </c>
      <c r="I176" s="57">
        <v>206.96619999999999</v>
      </c>
      <c r="J176" s="57">
        <v>160.97929999999999</v>
      </c>
      <c r="K176" s="57">
        <v>162.97640000000001</v>
      </c>
      <c r="L176" s="75" t="s">
        <v>3480</v>
      </c>
      <c r="M176" s="75" t="s">
        <v>3480</v>
      </c>
    </row>
    <row r="177" spans="1:13" x14ac:dyDescent="0.2">
      <c r="A177" s="54">
        <v>176</v>
      </c>
      <c r="B177" s="57">
        <v>132</v>
      </c>
      <c r="C177" s="57" t="s">
        <v>2851</v>
      </c>
      <c r="D177" s="59" t="s">
        <v>1102</v>
      </c>
      <c r="E177" s="57" t="s">
        <v>363</v>
      </c>
      <c r="F177" s="57">
        <v>143.0735</v>
      </c>
      <c r="G177" s="57">
        <v>7.2882999999999996</v>
      </c>
      <c r="H177" s="57">
        <v>142.07310000000001</v>
      </c>
      <c r="I177" s="57">
        <v>117.0574</v>
      </c>
      <c r="J177" s="57">
        <v>116.04949999999999</v>
      </c>
      <c r="K177" s="57">
        <v>107.0732</v>
      </c>
      <c r="L177" s="75" t="s">
        <v>362</v>
      </c>
      <c r="M177" s="75" t="s">
        <v>362</v>
      </c>
    </row>
    <row r="178" spans="1:13" x14ac:dyDescent="0.2">
      <c r="A178" s="54">
        <v>177</v>
      </c>
      <c r="B178" s="57">
        <v>133</v>
      </c>
      <c r="C178" s="57" t="s">
        <v>2523</v>
      </c>
      <c r="D178" s="59" t="s">
        <v>3264</v>
      </c>
      <c r="E178" s="57" t="s">
        <v>754</v>
      </c>
      <c r="F178" s="57">
        <v>191.131</v>
      </c>
      <c r="G178" s="57">
        <v>5.2511000000000001</v>
      </c>
      <c r="H178" s="57">
        <v>191.1301</v>
      </c>
      <c r="I178" s="57">
        <v>119.0491</v>
      </c>
      <c r="J178" s="57">
        <v>190.1224</v>
      </c>
      <c r="K178" s="57">
        <v>120.05249999999999</v>
      </c>
      <c r="L178" s="75" t="s">
        <v>753</v>
      </c>
      <c r="M178" s="75" t="s">
        <v>753</v>
      </c>
    </row>
    <row r="179" spans="1:13" x14ac:dyDescent="0.2">
      <c r="A179" s="54">
        <v>178</v>
      </c>
      <c r="B179" s="57">
        <v>134</v>
      </c>
      <c r="C179" s="57" t="s">
        <v>1877</v>
      </c>
      <c r="D179" s="59" t="s">
        <v>1878</v>
      </c>
      <c r="E179" s="57" t="s">
        <v>913</v>
      </c>
      <c r="F179" s="57">
        <v>373.08609999999999</v>
      </c>
      <c r="G179" s="57">
        <v>15.0571</v>
      </c>
      <c r="H179" s="57">
        <v>373.08569999999997</v>
      </c>
      <c r="I179" s="57">
        <v>221.0797</v>
      </c>
      <c r="J179" s="57">
        <v>232.10839999999999</v>
      </c>
      <c r="K179" s="57">
        <v>237.05699999999999</v>
      </c>
      <c r="L179" s="75" t="s">
        <v>912</v>
      </c>
      <c r="M179" s="75" t="s">
        <v>912</v>
      </c>
    </row>
    <row r="180" spans="1:13" x14ac:dyDescent="0.2">
      <c r="A180" s="54">
        <v>179</v>
      </c>
      <c r="B180" s="57">
        <v>135</v>
      </c>
      <c r="C180" s="57" t="s">
        <v>2551</v>
      </c>
      <c r="D180" s="59" t="s">
        <v>3303</v>
      </c>
      <c r="E180" s="57" t="s">
        <v>199</v>
      </c>
      <c r="F180" s="57">
        <v>134.1096</v>
      </c>
      <c r="G180" s="57">
        <v>7.7168999999999999</v>
      </c>
      <c r="H180" s="57">
        <v>134.10910000000001</v>
      </c>
      <c r="I180" s="57">
        <v>119.08540000000001</v>
      </c>
      <c r="J180" s="57">
        <v>133.1011</v>
      </c>
      <c r="K180" s="57">
        <v>103.0637</v>
      </c>
      <c r="L180" s="75" t="s">
        <v>194</v>
      </c>
      <c r="M180" s="75" t="s">
        <v>194</v>
      </c>
    </row>
    <row r="181" spans="1:13" x14ac:dyDescent="0.2">
      <c r="A181" s="54">
        <v>180</v>
      </c>
      <c r="B181" s="57">
        <v>136</v>
      </c>
      <c r="C181" s="57" t="s">
        <v>1880</v>
      </c>
      <c r="D181" s="59" t="s">
        <v>1321</v>
      </c>
      <c r="E181" s="57" t="s">
        <v>710</v>
      </c>
      <c r="F181" s="57">
        <v>298.05410000000001</v>
      </c>
      <c r="G181" s="57">
        <v>8.9549000000000003</v>
      </c>
      <c r="H181" s="57">
        <v>298.05329999999998</v>
      </c>
      <c r="I181" s="57">
        <v>156.06800000000001</v>
      </c>
      <c r="J181" s="57">
        <v>118.05240000000001</v>
      </c>
      <c r="K181" s="57">
        <v>157.07570000000001</v>
      </c>
      <c r="L181" s="75" t="s">
        <v>709</v>
      </c>
      <c r="M181" s="75" t="s">
        <v>709</v>
      </c>
    </row>
    <row r="182" spans="1:13" x14ac:dyDescent="0.2">
      <c r="A182" s="54">
        <v>181</v>
      </c>
      <c r="B182" s="57">
        <v>137</v>
      </c>
      <c r="C182" s="57" t="s">
        <v>2010</v>
      </c>
      <c r="D182" s="59" t="s">
        <v>1212</v>
      </c>
      <c r="E182" s="57" t="s">
        <v>968</v>
      </c>
      <c r="F182" s="57">
        <v>375.00900000000001</v>
      </c>
      <c r="G182" s="57">
        <v>18.4863</v>
      </c>
      <c r="H182" s="57">
        <v>340.00490000000002</v>
      </c>
      <c r="I182" s="57">
        <v>338.99759999999998</v>
      </c>
      <c r="J182" s="57">
        <v>342.00060000000002</v>
      </c>
      <c r="K182" s="57">
        <v>344.06610000000001</v>
      </c>
      <c r="L182" s="75" t="s">
        <v>967</v>
      </c>
      <c r="M182" s="75" t="s">
        <v>967</v>
      </c>
    </row>
    <row r="183" spans="1:13" x14ac:dyDescent="0.2">
      <c r="A183" s="54">
        <v>182</v>
      </c>
      <c r="B183" s="57">
        <v>138</v>
      </c>
      <c r="C183" s="57" t="s">
        <v>2407</v>
      </c>
      <c r="D183" s="59" t="s">
        <v>3213</v>
      </c>
      <c r="E183" s="57" t="s">
        <v>330</v>
      </c>
      <c r="F183" s="57">
        <v>326.00080000000003</v>
      </c>
      <c r="G183" s="57">
        <v>3.8620999999999999</v>
      </c>
      <c r="H183" s="57">
        <v>123.995</v>
      </c>
      <c r="I183" s="57">
        <v>124.99209999999999</v>
      </c>
      <c r="J183" s="57">
        <v>98.981099999999998</v>
      </c>
      <c r="K183" s="57">
        <v>125.992</v>
      </c>
      <c r="L183" s="75" t="s">
        <v>326</v>
      </c>
      <c r="M183" s="75" t="s">
        <v>326</v>
      </c>
    </row>
    <row r="184" spans="1:13" x14ac:dyDescent="0.2">
      <c r="A184" s="54">
        <v>183</v>
      </c>
      <c r="B184" s="57">
        <v>139</v>
      </c>
      <c r="C184" s="57" t="s">
        <v>2409</v>
      </c>
      <c r="D184" s="59" t="s">
        <v>919</v>
      </c>
      <c r="E184" s="57" t="s">
        <v>329</v>
      </c>
      <c r="F184" s="57">
        <v>427.88400000000001</v>
      </c>
      <c r="G184" s="57">
        <v>11.6113</v>
      </c>
      <c r="H184" s="57">
        <v>98.984300000000005</v>
      </c>
      <c r="I184" s="57">
        <v>190.9426</v>
      </c>
      <c r="J184" s="57">
        <v>208.95320000000001</v>
      </c>
      <c r="K184" s="57">
        <v>96.984099999999998</v>
      </c>
      <c r="L184" s="75" t="s">
        <v>328</v>
      </c>
      <c r="M184" s="75" t="s">
        <v>328</v>
      </c>
    </row>
    <row r="185" spans="1:13" x14ac:dyDescent="0.2">
      <c r="A185" s="54">
        <v>184</v>
      </c>
      <c r="B185" s="57">
        <v>140</v>
      </c>
      <c r="C185" s="57" t="s">
        <v>2895</v>
      </c>
      <c r="D185" s="59" t="s">
        <v>3304</v>
      </c>
      <c r="E185" s="57" t="s">
        <v>365</v>
      </c>
      <c r="F185" s="57">
        <v>135.10480000000001</v>
      </c>
      <c r="G185" s="57">
        <v>5.7984</v>
      </c>
      <c r="H185" s="57">
        <v>135.10470000000001</v>
      </c>
      <c r="I185" s="57">
        <v>120.0809</v>
      </c>
      <c r="J185" s="57">
        <v>134.09649999999999</v>
      </c>
      <c r="K185" s="57">
        <v>133.0523</v>
      </c>
      <c r="L185" s="75" t="s">
        <v>364</v>
      </c>
      <c r="M185" s="75" t="s">
        <v>364</v>
      </c>
    </row>
    <row r="186" spans="1:13" x14ac:dyDescent="0.2">
      <c r="A186" s="54">
        <v>185</v>
      </c>
      <c r="B186" s="57">
        <v>141</v>
      </c>
      <c r="C186" s="57" t="s">
        <v>2429</v>
      </c>
      <c r="D186" s="59" t="s">
        <v>3227</v>
      </c>
      <c r="E186" s="57" t="s">
        <v>2430</v>
      </c>
      <c r="F186" s="57">
        <v>477.66899999999998</v>
      </c>
      <c r="G186" s="57">
        <v>17.559999999999999</v>
      </c>
      <c r="H186" s="57">
        <v>463.93130000000002</v>
      </c>
      <c r="I186" s="57">
        <v>419.65550000000002</v>
      </c>
      <c r="J186" s="57">
        <v>468.22039999999998</v>
      </c>
      <c r="K186" s="57">
        <v>465.89800000000002</v>
      </c>
      <c r="L186" s="75" t="s">
        <v>3494</v>
      </c>
      <c r="M186" s="75" t="s">
        <v>3494</v>
      </c>
    </row>
    <row r="187" spans="1:13" x14ac:dyDescent="0.2">
      <c r="A187" s="54">
        <v>186</v>
      </c>
      <c r="B187" s="57">
        <v>142</v>
      </c>
      <c r="C187" s="57" t="s">
        <v>3033</v>
      </c>
      <c r="D187" s="59" t="s">
        <v>3034</v>
      </c>
      <c r="E187" s="57" t="s">
        <v>815</v>
      </c>
      <c r="F187" s="57">
        <v>229.10939999999999</v>
      </c>
      <c r="G187" s="57">
        <v>6.3329000000000004</v>
      </c>
      <c r="H187" s="57">
        <v>229.10890000000001</v>
      </c>
      <c r="I187" s="57">
        <v>214.08529999999999</v>
      </c>
      <c r="J187" s="57">
        <v>172.03829999999999</v>
      </c>
      <c r="K187" s="57">
        <v>187.0624</v>
      </c>
      <c r="L187" s="75" t="s">
        <v>814</v>
      </c>
      <c r="M187" s="75" t="s">
        <v>814</v>
      </c>
    </row>
    <row r="188" spans="1:13" x14ac:dyDescent="0.2">
      <c r="A188" s="54">
        <v>187</v>
      </c>
      <c r="B188" s="57">
        <v>143</v>
      </c>
      <c r="C188" s="57" t="s">
        <v>2893</v>
      </c>
      <c r="D188" s="59" t="s">
        <v>3305</v>
      </c>
      <c r="E188" s="57" t="s">
        <v>397</v>
      </c>
      <c r="F188" s="57">
        <v>216.07210000000001</v>
      </c>
      <c r="G188" s="57">
        <v>9.2834000000000003</v>
      </c>
      <c r="H188" s="57">
        <v>216.07320000000001</v>
      </c>
      <c r="I188" s="57">
        <v>184.0882</v>
      </c>
      <c r="J188" s="57">
        <v>183.08029999999999</v>
      </c>
      <c r="K188" s="57">
        <v>215.0703</v>
      </c>
      <c r="L188" s="75" t="s">
        <v>396</v>
      </c>
      <c r="M188" s="75" t="s">
        <v>396</v>
      </c>
    </row>
    <row r="189" spans="1:13" x14ac:dyDescent="0.2">
      <c r="A189" s="54">
        <v>188</v>
      </c>
      <c r="B189" s="57">
        <v>144</v>
      </c>
      <c r="C189" s="57" t="s">
        <v>2817</v>
      </c>
      <c r="D189" s="59" t="s">
        <v>2818</v>
      </c>
      <c r="E189" s="57" t="s">
        <v>723</v>
      </c>
      <c r="F189" s="57">
        <v>334.10059999999999</v>
      </c>
      <c r="G189" s="57">
        <v>16.623699999999999</v>
      </c>
      <c r="H189" s="57">
        <v>334.1035</v>
      </c>
      <c r="I189" s="57">
        <v>175.14830000000001</v>
      </c>
      <c r="J189" s="57">
        <v>135.11709999999999</v>
      </c>
      <c r="K189" s="57">
        <v>168.0933</v>
      </c>
      <c r="L189" s="75" t="s">
        <v>722</v>
      </c>
      <c r="M189" s="75" t="s">
        <v>722</v>
      </c>
    </row>
    <row r="190" spans="1:13" x14ac:dyDescent="0.2">
      <c r="A190" s="54">
        <v>189</v>
      </c>
      <c r="B190" s="57">
        <v>145</v>
      </c>
      <c r="C190" s="57" t="s">
        <v>2496</v>
      </c>
      <c r="D190" s="59" t="s">
        <v>1452</v>
      </c>
      <c r="E190" s="57" t="s">
        <v>155</v>
      </c>
      <c r="F190" s="57">
        <v>206.1671</v>
      </c>
      <c r="G190" s="57">
        <v>9.7250999999999994</v>
      </c>
      <c r="H190" s="57">
        <v>206.16669999999999</v>
      </c>
      <c r="I190" s="57">
        <v>135.0806</v>
      </c>
      <c r="J190" s="57">
        <v>107.0493</v>
      </c>
      <c r="K190" s="57">
        <v>136.08410000000001</v>
      </c>
      <c r="L190" s="75" t="s">
        <v>154</v>
      </c>
      <c r="M190" s="75" t="s">
        <v>154</v>
      </c>
    </row>
    <row r="191" spans="1:13" x14ac:dyDescent="0.2">
      <c r="A191" s="54">
        <v>190</v>
      </c>
      <c r="B191" s="57">
        <v>146</v>
      </c>
      <c r="C191" s="57" t="s">
        <v>3071</v>
      </c>
      <c r="D191" s="59" t="s">
        <v>1198</v>
      </c>
      <c r="E191" s="57" t="s">
        <v>111</v>
      </c>
      <c r="F191" s="57">
        <v>154.13579999999999</v>
      </c>
      <c r="G191" s="57">
        <v>7.9790999999999999</v>
      </c>
      <c r="H191" s="57">
        <v>128.107</v>
      </c>
      <c r="I191" s="57">
        <v>139.14789999999999</v>
      </c>
      <c r="J191" s="57">
        <v>138.09960000000001</v>
      </c>
      <c r="K191" s="57">
        <v>154.13480000000001</v>
      </c>
      <c r="L191" s="75" t="s">
        <v>73</v>
      </c>
      <c r="M191" s="75" t="s">
        <v>73</v>
      </c>
    </row>
    <row r="192" spans="1:13" x14ac:dyDescent="0.2">
      <c r="A192" s="54">
        <v>191</v>
      </c>
      <c r="B192" s="57">
        <v>147</v>
      </c>
      <c r="C192" s="57" t="s">
        <v>2770</v>
      </c>
      <c r="D192" s="59" t="s">
        <v>3265</v>
      </c>
      <c r="E192" s="57" t="s">
        <v>183</v>
      </c>
      <c r="F192" s="57">
        <v>88.052400000000006</v>
      </c>
      <c r="G192" s="57">
        <v>3.1707000000000001</v>
      </c>
      <c r="H192" s="57">
        <v>88.051900000000003</v>
      </c>
      <c r="I192" s="57">
        <v>101.05970000000001</v>
      </c>
      <c r="J192" s="57">
        <v>89.059700000000007</v>
      </c>
      <c r="K192" s="57">
        <v>87.0441</v>
      </c>
      <c r="L192" s="75" t="s">
        <v>3612</v>
      </c>
      <c r="M192" s="75" t="s">
        <v>3612</v>
      </c>
    </row>
    <row r="193" spans="1:13" x14ac:dyDescent="0.2">
      <c r="A193" s="54">
        <v>192</v>
      </c>
      <c r="B193" s="57">
        <v>148</v>
      </c>
      <c r="C193" s="57" t="s">
        <v>2516</v>
      </c>
      <c r="D193" s="59" t="s">
        <v>3228</v>
      </c>
      <c r="E193" s="57" t="s">
        <v>2517</v>
      </c>
      <c r="F193" s="57">
        <v>470.06779999999998</v>
      </c>
      <c r="G193" s="57">
        <v>12.4411</v>
      </c>
      <c r="H193" s="57">
        <v>235.97909999999999</v>
      </c>
      <c r="I193" s="57">
        <v>173.0153</v>
      </c>
      <c r="J193" s="57">
        <v>135.0806</v>
      </c>
      <c r="K193" s="57">
        <v>470.06799999999998</v>
      </c>
      <c r="L193" s="75" t="s">
        <v>3503</v>
      </c>
      <c r="M193" s="75" t="s">
        <v>3503</v>
      </c>
    </row>
    <row r="194" spans="1:13" x14ac:dyDescent="0.2">
      <c r="A194" s="54">
        <v>193</v>
      </c>
      <c r="B194" s="57">
        <v>149</v>
      </c>
      <c r="C194" s="57" t="s">
        <v>2595</v>
      </c>
      <c r="D194" s="59" t="s">
        <v>2596</v>
      </c>
      <c r="E194" s="57" t="s">
        <v>176</v>
      </c>
      <c r="F194" s="57">
        <v>111.9847</v>
      </c>
      <c r="G194" s="57">
        <v>4.2321999999999997</v>
      </c>
      <c r="H194" s="57">
        <v>111.9845</v>
      </c>
      <c r="I194" s="57">
        <v>108.9841</v>
      </c>
      <c r="J194" s="57">
        <v>110.9811</v>
      </c>
      <c r="K194" s="57">
        <v>109.97920000000001</v>
      </c>
      <c r="L194" s="75" t="s">
        <v>175</v>
      </c>
      <c r="M194" s="75" t="s">
        <v>175</v>
      </c>
    </row>
    <row r="195" spans="1:13" x14ac:dyDescent="0.2">
      <c r="A195" s="54">
        <v>194</v>
      </c>
      <c r="B195" s="57">
        <v>150</v>
      </c>
      <c r="C195" s="57" t="s">
        <v>3110</v>
      </c>
      <c r="D195" s="59" t="s">
        <v>1189</v>
      </c>
      <c r="E195" s="57" t="s">
        <v>115</v>
      </c>
      <c r="F195" s="57">
        <v>116.08369999999999</v>
      </c>
      <c r="G195" s="57">
        <v>10.0404</v>
      </c>
      <c r="H195" s="57">
        <v>116.08329999999999</v>
      </c>
      <c r="I195" s="57">
        <v>88.047499999999999</v>
      </c>
      <c r="J195" s="57">
        <v>117.08629999999999</v>
      </c>
      <c r="K195" s="57">
        <v>115.0754</v>
      </c>
      <c r="L195" s="75" t="s">
        <v>114</v>
      </c>
      <c r="M195" s="75" t="s">
        <v>114</v>
      </c>
    </row>
    <row r="196" spans="1:13" x14ac:dyDescent="0.2">
      <c r="A196" s="54">
        <v>195</v>
      </c>
      <c r="B196" s="57">
        <v>151</v>
      </c>
      <c r="C196" s="57" t="s">
        <v>2727</v>
      </c>
      <c r="D196" s="59" t="s">
        <v>3584</v>
      </c>
      <c r="E196" s="57" t="s">
        <v>2728</v>
      </c>
      <c r="F196" s="57">
        <v>615.87210000000005</v>
      </c>
      <c r="G196" s="57">
        <v>10.438800000000001</v>
      </c>
      <c r="H196" s="57">
        <v>282.97969999999998</v>
      </c>
      <c r="I196" s="57">
        <v>252.98169999999999</v>
      </c>
      <c r="J196" s="57">
        <v>254.97880000000001</v>
      </c>
      <c r="K196" s="57">
        <v>284.97669999999999</v>
      </c>
      <c r="L196" s="75" t="s">
        <v>3428</v>
      </c>
      <c r="M196" s="75" t="s">
        <v>3428</v>
      </c>
    </row>
    <row r="197" spans="1:13" x14ac:dyDescent="0.2">
      <c r="A197" s="54">
        <v>196</v>
      </c>
      <c r="B197" s="57">
        <v>152</v>
      </c>
      <c r="C197" s="57" t="s">
        <v>2729</v>
      </c>
      <c r="D197" s="59" t="s">
        <v>3585</v>
      </c>
      <c r="E197" s="57" t="s">
        <v>2730</v>
      </c>
      <c r="F197" s="57">
        <v>615.87210000000005</v>
      </c>
      <c r="G197" s="57">
        <v>10.438800000000001</v>
      </c>
      <c r="H197" s="57">
        <v>282.97969999999998</v>
      </c>
      <c r="I197" s="57">
        <v>252.98169999999999</v>
      </c>
      <c r="J197" s="57">
        <v>254.97880000000001</v>
      </c>
      <c r="K197" s="57">
        <v>284.97669999999999</v>
      </c>
      <c r="L197" s="75" t="s">
        <v>3428</v>
      </c>
      <c r="M197" s="75" t="s">
        <v>3428</v>
      </c>
    </row>
    <row r="198" spans="1:13" x14ac:dyDescent="0.2">
      <c r="A198" s="54">
        <v>197</v>
      </c>
      <c r="B198" s="57">
        <v>153</v>
      </c>
      <c r="C198" s="57" t="s">
        <v>2733</v>
      </c>
      <c r="D198" s="59" t="s">
        <v>3586</v>
      </c>
      <c r="E198" s="57" t="s">
        <v>2734</v>
      </c>
      <c r="F198" s="57">
        <v>615.87210000000005</v>
      </c>
      <c r="G198" s="57">
        <v>10.9678</v>
      </c>
      <c r="H198" s="57">
        <v>282.97969999999998</v>
      </c>
      <c r="I198" s="57">
        <v>252.98169999999999</v>
      </c>
      <c r="J198" s="57">
        <v>254.97880000000001</v>
      </c>
      <c r="K198" s="57">
        <v>284.97669999999999</v>
      </c>
      <c r="L198" s="75" t="s">
        <v>3613</v>
      </c>
      <c r="M198" s="76" t="s">
        <v>3428</v>
      </c>
    </row>
    <row r="199" spans="1:13" x14ac:dyDescent="0.2">
      <c r="A199" s="54">
        <v>198</v>
      </c>
      <c r="B199" s="57">
        <v>154</v>
      </c>
      <c r="C199" s="57" t="s">
        <v>2735</v>
      </c>
      <c r="D199" s="59" t="s">
        <v>3587</v>
      </c>
      <c r="E199" s="57" t="s">
        <v>2736</v>
      </c>
      <c r="F199" s="57">
        <v>615.87210000000005</v>
      </c>
      <c r="G199" s="57">
        <v>11.230700000000001</v>
      </c>
      <c r="H199" s="57">
        <v>235.97989999999999</v>
      </c>
      <c r="I199" s="57">
        <v>237.9769</v>
      </c>
      <c r="J199" s="57">
        <v>316.94170000000003</v>
      </c>
      <c r="K199" s="57">
        <v>286.94299999999998</v>
      </c>
      <c r="L199" s="75" t="s">
        <v>3428</v>
      </c>
      <c r="M199" s="75" t="s">
        <v>3428</v>
      </c>
    </row>
    <row r="200" spans="1:13" x14ac:dyDescent="0.2">
      <c r="A200" s="54">
        <v>199</v>
      </c>
      <c r="B200" s="57">
        <v>155</v>
      </c>
      <c r="C200" s="57" t="s">
        <v>1839</v>
      </c>
      <c r="D200" s="59" t="s">
        <v>3146</v>
      </c>
      <c r="E200" s="57" t="s">
        <v>748</v>
      </c>
      <c r="F200" s="57">
        <v>409.82909999999998</v>
      </c>
      <c r="G200" s="57">
        <v>10.3477</v>
      </c>
      <c r="H200" s="57">
        <v>158.97640000000001</v>
      </c>
      <c r="I200" s="57">
        <v>340.88</v>
      </c>
      <c r="J200" s="57">
        <v>328.88010000000003</v>
      </c>
      <c r="K200" s="57">
        <v>304.90339999999998</v>
      </c>
      <c r="L200" s="75" t="s">
        <v>747</v>
      </c>
      <c r="M200" s="75" t="s">
        <v>747</v>
      </c>
    </row>
    <row r="201" spans="1:13" x14ac:dyDescent="0.2">
      <c r="A201" s="54">
        <v>200</v>
      </c>
      <c r="B201" s="57">
        <v>156</v>
      </c>
      <c r="C201" s="57" t="s">
        <v>2972</v>
      </c>
      <c r="D201" s="59" t="s">
        <v>3167</v>
      </c>
      <c r="E201" s="57" t="s">
        <v>125</v>
      </c>
      <c r="F201" s="57">
        <v>132.0575</v>
      </c>
      <c r="G201" s="57">
        <v>3.6808999999999998</v>
      </c>
      <c r="H201" s="57">
        <v>132.0565</v>
      </c>
      <c r="I201" s="57">
        <v>131.04949999999999</v>
      </c>
      <c r="J201" s="57">
        <v>103.05459999999999</v>
      </c>
      <c r="K201" s="57">
        <v>104.06229999999999</v>
      </c>
      <c r="L201" s="75" t="s">
        <v>124</v>
      </c>
      <c r="M201" s="75" t="s">
        <v>124</v>
      </c>
    </row>
    <row r="202" spans="1:13" x14ac:dyDescent="0.2">
      <c r="A202" s="54">
        <v>201</v>
      </c>
      <c r="B202" s="57">
        <v>157</v>
      </c>
      <c r="C202" s="57" t="s">
        <v>1584</v>
      </c>
      <c r="D202" s="59" t="s">
        <v>1585</v>
      </c>
      <c r="E202" s="57" t="s">
        <v>1586</v>
      </c>
      <c r="F202" s="57">
        <v>405.68389999999999</v>
      </c>
      <c r="G202" s="57">
        <v>7.9939</v>
      </c>
      <c r="H202" s="57">
        <v>409.68060000000003</v>
      </c>
      <c r="I202" s="57">
        <v>407.68279999999999</v>
      </c>
      <c r="J202" s="57">
        <v>411.67860000000002</v>
      </c>
      <c r="K202" s="57">
        <v>405.6848</v>
      </c>
      <c r="L202" s="75" t="s">
        <v>3441</v>
      </c>
      <c r="M202" s="75" t="s">
        <v>3441</v>
      </c>
    </row>
    <row r="203" spans="1:13" x14ac:dyDescent="0.2">
      <c r="A203" s="54">
        <v>202</v>
      </c>
      <c r="B203" s="57">
        <v>158</v>
      </c>
      <c r="C203" s="57" t="s">
        <v>2510</v>
      </c>
      <c r="D203" s="59" t="s">
        <v>3151</v>
      </c>
      <c r="E203" s="57" t="s">
        <v>854</v>
      </c>
      <c r="F203" s="57">
        <v>406.09469999999999</v>
      </c>
      <c r="G203" s="57">
        <v>5.3207000000000004</v>
      </c>
      <c r="H203" s="57">
        <v>129.09110000000001</v>
      </c>
      <c r="I203" s="57">
        <v>96.088899999999995</v>
      </c>
      <c r="J203" s="57">
        <v>97.064899999999994</v>
      </c>
      <c r="K203" s="57">
        <v>95.085599999999999</v>
      </c>
      <c r="L203" s="75" t="s">
        <v>853</v>
      </c>
      <c r="M203" s="75" t="s">
        <v>853</v>
      </c>
    </row>
    <row r="204" spans="1:13" x14ac:dyDescent="0.2">
      <c r="A204" s="54">
        <v>203</v>
      </c>
      <c r="B204" s="57">
        <v>159</v>
      </c>
      <c r="C204" s="57" t="s">
        <v>1696</v>
      </c>
      <c r="D204" s="59" t="s">
        <v>1697</v>
      </c>
      <c r="E204" s="57" t="s">
        <v>1698</v>
      </c>
      <c r="F204" s="57">
        <v>403.80470000000003</v>
      </c>
      <c r="G204" s="57">
        <v>10.4453</v>
      </c>
      <c r="H204" s="57">
        <v>403.80470000000003</v>
      </c>
      <c r="I204" s="57">
        <v>245.9675</v>
      </c>
      <c r="J204" s="57">
        <v>247.96549999999999</v>
      </c>
      <c r="K204" s="57">
        <v>405.8021</v>
      </c>
      <c r="L204" s="75" t="s">
        <v>3475</v>
      </c>
      <c r="M204" s="75" t="s">
        <v>3475</v>
      </c>
    </row>
    <row r="205" spans="1:13" x14ac:dyDescent="0.2">
      <c r="A205" s="54">
        <v>204</v>
      </c>
      <c r="B205" s="57">
        <v>160</v>
      </c>
      <c r="C205" s="57" t="s">
        <v>2751</v>
      </c>
      <c r="D205" s="59" t="s">
        <v>2752</v>
      </c>
      <c r="E205" s="57" t="s">
        <v>859</v>
      </c>
      <c r="F205" s="57">
        <v>198.05600000000001</v>
      </c>
      <c r="G205" s="57">
        <v>7.2230999999999996</v>
      </c>
      <c r="H205" s="57">
        <v>198.0548</v>
      </c>
      <c r="I205" s="57">
        <v>185.05950000000001</v>
      </c>
      <c r="J205" s="57">
        <v>156.05699999999999</v>
      </c>
      <c r="K205" s="57">
        <v>155.0489</v>
      </c>
      <c r="L205" s="75" t="s">
        <v>858</v>
      </c>
      <c r="M205" s="75" t="s">
        <v>858</v>
      </c>
    </row>
    <row r="206" spans="1:13" x14ac:dyDescent="0.2">
      <c r="A206" s="54">
        <v>205</v>
      </c>
      <c r="B206" s="57">
        <v>161</v>
      </c>
      <c r="C206" s="57" t="s">
        <v>2416</v>
      </c>
      <c r="D206" s="59" t="s">
        <v>2417</v>
      </c>
      <c r="E206" s="57" t="s">
        <v>2418</v>
      </c>
      <c r="F206" s="57">
        <v>321.82</v>
      </c>
      <c r="G206" s="57">
        <v>5.3342000000000001</v>
      </c>
      <c r="H206" s="57">
        <v>212.8827</v>
      </c>
      <c r="I206" s="57">
        <v>214.87909999999999</v>
      </c>
      <c r="J206" s="57">
        <v>216.8768</v>
      </c>
      <c r="K206" s="57">
        <v>215.88310000000001</v>
      </c>
      <c r="L206" s="75" t="s">
        <v>3517</v>
      </c>
      <c r="M206" s="75" t="s">
        <v>3517</v>
      </c>
    </row>
    <row r="207" spans="1:13" x14ac:dyDescent="0.2">
      <c r="A207" s="54">
        <v>206</v>
      </c>
      <c r="B207" s="57">
        <v>162</v>
      </c>
      <c r="C207" s="57" t="s">
        <v>3054</v>
      </c>
      <c r="D207" s="59" t="s">
        <v>3055</v>
      </c>
      <c r="E207" s="57" t="s">
        <v>907</v>
      </c>
      <c r="F207" s="57">
        <v>271.15719999999999</v>
      </c>
      <c r="G207" s="57">
        <v>4.1243999999999996</v>
      </c>
      <c r="H207" s="57">
        <v>128.107</v>
      </c>
      <c r="I207" s="57">
        <v>100.1122</v>
      </c>
      <c r="J207" s="57">
        <v>129.1104</v>
      </c>
      <c r="K207" s="57">
        <v>130.9451</v>
      </c>
      <c r="L207" s="75" t="s">
        <v>906</v>
      </c>
      <c r="M207" s="75" t="s">
        <v>906</v>
      </c>
    </row>
    <row r="208" spans="1:13" x14ac:dyDescent="0.2">
      <c r="A208" s="54">
        <v>207</v>
      </c>
      <c r="B208" s="57">
        <v>163</v>
      </c>
      <c r="C208" s="57" t="s">
        <v>1842</v>
      </c>
      <c r="D208" s="59" t="s">
        <v>3147</v>
      </c>
      <c r="E208" s="57" t="s">
        <v>733</v>
      </c>
      <c r="F208" s="57">
        <v>443.7901</v>
      </c>
      <c r="G208" s="57">
        <v>12.4049</v>
      </c>
      <c r="H208" s="57">
        <v>158.97630000000001</v>
      </c>
      <c r="I208" s="57">
        <v>278.8877</v>
      </c>
      <c r="J208" s="57">
        <v>338.86439999999999</v>
      </c>
      <c r="K208" s="57">
        <v>374.84100000000001</v>
      </c>
      <c r="L208" s="75" t="s">
        <v>732</v>
      </c>
      <c r="M208" s="75" t="s">
        <v>732</v>
      </c>
    </row>
    <row r="209" spans="1:13" x14ac:dyDescent="0.2">
      <c r="A209" s="54">
        <v>208</v>
      </c>
      <c r="B209" s="57">
        <v>164</v>
      </c>
      <c r="C209" s="57" t="s">
        <v>2586</v>
      </c>
      <c r="D209" s="59" t="s">
        <v>2587</v>
      </c>
      <c r="E209" s="57" t="s">
        <v>2588</v>
      </c>
      <c r="F209" s="57">
        <v>95.953400000000002</v>
      </c>
      <c r="G209" s="57">
        <v>6.3460000000000001</v>
      </c>
      <c r="H209" s="57">
        <v>95.952799999999996</v>
      </c>
      <c r="I209" s="57">
        <v>97.9499</v>
      </c>
      <c r="J209" s="57">
        <v>94.945099999999996</v>
      </c>
      <c r="K209" s="57">
        <v>96.942099999999996</v>
      </c>
      <c r="L209" s="75"/>
      <c r="M209" s="75" t="s">
        <v>3614</v>
      </c>
    </row>
    <row r="210" spans="1:13" x14ac:dyDescent="0.2">
      <c r="A210" s="54">
        <v>209</v>
      </c>
      <c r="B210" s="57">
        <v>165</v>
      </c>
      <c r="C210" s="57" t="s">
        <v>2589</v>
      </c>
      <c r="D210" s="59" t="s">
        <v>2590</v>
      </c>
      <c r="E210" s="57" t="s">
        <v>2591</v>
      </c>
      <c r="F210" s="57">
        <v>95.953400000000002</v>
      </c>
      <c r="G210" s="57">
        <v>6.7882999999999996</v>
      </c>
      <c r="H210" s="57">
        <v>95.952799999999996</v>
      </c>
      <c r="I210" s="57">
        <v>97.9499</v>
      </c>
      <c r="J210" s="57">
        <v>94.945099999999996</v>
      </c>
      <c r="K210" s="57">
        <v>96.942099999999996</v>
      </c>
      <c r="L210" s="75"/>
      <c r="M210" s="75" t="s">
        <v>3614</v>
      </c>
    </row>
    <row r="211" spans="1:13" x14ac:dyDescent="0.2">
      <c r="A211" s="54">
        <v>210</v>
      </c>
      <c r="B211" s="57">
        <v>166</v>
      </c>
      <c r="C211" s="57" t="s">
        <v>2480</v>
      </c>
      <c r="D211" s="59" t="s">
        <v>2481</v>
      </c>
      <c r="E211" s="57" t="s">
        <v>519</v>
      </c>
      <c r="F211" s="57">
        <v>164.08369999999999</v>
      </c>
      <c r="G211" s="57">
        <v>18.4481</v>
      </c>
      <c r="H211" s="57">
        <v>164.0831</v>
      </c>
      <c r="I211" s="57">
        <v>149.05969999999999</v>
      </c>
      <c r="J211" s="57">
        <v>163.0753</v>
      </c>
      <c r="K211" s="57">
        <v>165.08760000000001</v>
      </c>
      <c r="L211" s="75" t="s">
        <v>518</v>
      </c>
      <c r="M211" s="75" t="s">
        <v>518</v>
      </c>
    </row>
    <row r="212" spans="1:13" x14ac:dyDescent="0.2">
      <c r="A212" s="54">
        <v>211</v>
      </c>
      <c r="B212" s="57">
        <v>167</v>
      </c>
      <c r="C212" s="57" t="s">
        <v>2806</v>
      </c>
      <c r="D212" s="59" t="s">
        <v>1288</v>
      </c>
      <c r="E212" s="57" t="s">
        <v>775</v>
      </c>
      <c r="F212" s="57">
        <v>221.1052</v>
      </c>
      <c r="G212" s="57">
        <v>6.1706000000000003</v>
      </c>
      <c r="H212" s="57">
        <v>164.0831</v>
      </c>
      <c r="I212" s="57">
        <v>149.0598</v>
      </c>
      <c r="J212" s="57">
        <v>122.0363</v>
      </c>
      <c r="K212" s="57">
        <v>221.10720000000001</v>
      </c>
      <c r="L212" s="75" t="s">
        <v>774</v>
      </c>
      <c r="M212" s="75" t="s">
        <v>774</v>
      </c>
    </row>
    <row r="213" spans="1:13" x14ac:dyDescent="0.2">
      <c r="A213" s="54">
        <v>212</v>
      </c>
      <c r="B213" s="57">
        <v>168</v>
      </c>
      <c r="C213" s="57" t="s">
        <v>1992</v>
      </c>
      <c r="D213" s="59" t="s">
        <v>1993</v>
      </c>
      <c r="E213" s="57" t="s">
        <v>1994</v>
      </c>
      <c r="F213" s="57">
        <v>335.10930000000002</v>
      </c>
      <c r="G213" s="57">
        <v>5.7373000000000003</v>
      </c>
      <c r="H213" s="57">
        <v>335.10820000000001</v>
      </c>
      <c r="I213" s="57">
        <v>264.02229999999997</v>
      </c>
      <c r="J213" s="57">
        <v>306.0693</v>
      </c>
      <c r="K213" s="57">
        <v>248.0274</v>
      </c>
      <c r="L213" s="75" t="s">
        <v>3451</v>
      </c>
      <c r="M213" s="75" t="s">
        <v>3451</v>
      </c>
    </row>
    <row r="214" spans="1:13" x14ac:dyDescent="0.2">
      <c r="A214" s="54">
        <v>213</v>
      </c>
      <c r="B214" s="57">
        <v>169</v>
      </c>
      <c r="C214" s="57" t="s">
        <v>3038</v>
      </c>
      <c r="D214" s="59" t="s">
        <v>1234</v>
      </c>
      <c r="E214" s="57" t="s">
        <v>897</v>
      </c>
      <c r="F214" s="57">
        <v>269.11829999999998</v>
      </c>
      <c r="G214" s="57">
        <v>7.3406000000000002</v>
      </c>
      <c r="H214" s="57">
        <v>269.11759999999998</v>
      </c>
      <c r="I214" s="57">
        <v>160.11199999999999</v>
      </c>
      <c r="J214" s="57">
        <v>132.08080000000001</v>
      </c>
      <c r="K214" s="57">
        <v>130.0652</v>
      </c>
      <c r="L214" s="75" t="s">
        <v>896</v>
      </c>
      <c r="M214" s="75" t="s">
        <v>896</v>
      </c>
    </row>
    <row r="215" spans="1:13" x14ac:dyDescent="0.2">
      <c r="A215" s="54">
        <v>214</v>
      </c>
      <c r="B215" s="57" t="s">
        <v>1</v>
      </c>
      <c r="C215" s="57" t="s">
        <v>1996</v>
      </c>
      <c r="D215" s="59" t="s">
        <v>1</v>
      </c>
      <c r="E215" s="57" t="s">
        <v>1</v>
      </c>
      <c r="F215" s="57" t="s">
        <v>1</v>
      </c>
      <c r="G215" s="57">
        <v>7.2815000000000003</v>
      </c>
      <c r="H215" s="57">
        <v>269.1182</v>
      </c>
      <c r="I215" s="57">
        <v>160.11179999999999</v>
      </c>
      <c r="J215" s="57">
        <v>188.10679999999999</v>
      </c>
      <c r="K215" s="57">
        <v>146.09620000000001</v>
      </c>
      <c r="L215" s="75">
        <v>0</v>
      </c>
      <c r="M215" s="75" t="s">
        <v>1</v>
      </c>
    </row>
    <row r="216" spans="1:13" x14ac:dyDescent="0.2">
      <c r="A216" s="54">
        <v>215</v>
      </c>
      <c r="B216" s="57">
        <v>170</v>
      </c>
      <c r="C216" s="57" t="s">
        <v>3039</v>
      </c>
      <c r="D216" s="59" t="s">
        <v>3040</v>
      </c>
      <c r="E216" s="57" t="s">
        <v>807</v>
      </c>
      <c r="F216" s="57">
        <v>211.14330000000001</v>
      </c>
      <c r="G216" s="57">
        <v>6.2533000000000003</v>
      </c>
      <c r="H216" s="57">
        <v>211.14279999999999</v>
      </c>
      <c r="I216" s="57">
        <v>169.11920000000001</v>
      </c>
      <c r="J216" s="57">
        <v>215.0933</v>
      </c>
      <c r="K216" s="57">
        <v>216.08250000000001</v>
      </c>
      <c r="L216" s="75" t="s">
        <v>806</v>
      </c>
      <c r="M216" s="75" t="s">
        <v>806</v>
      </c>
    </row>
    <row r="217" spans="1:13" x14ac:dyDescent="0.2">
      <c r="A217" s="54">
        <v>216</v>
      </c>
      <c r="B217" s="57">
        <v>171</v>
      </c>
      <c r="C217" s="57" t="s">
        <v>2795</v>
      </c>
      <c r="D217" s="59" t="s">
        <v>2796</v>
      </c>
      <c r="E217" s="57" t="s">
        <v>771</v>
      </c>
      <c r="F217" s="57">
        <v>206.07249999999999</v>
      </c>
      <c r="G217" s="57">
        <v>7.2838000000000003</v>
      </c>
      <c r="H217" s="57">
        <v>206.07320000000001</v>
      </c>
      <c r="I217" s="57">
        <v>208.0703</v>
      </c>
      <c r="J217" s="57">
        <v>207.07660000000001</v>
      </c>
      <c r="K217" s="57">
        <v>209.0735</v>
      </c>
      <c r="L217" s="75" t="s">
        <v>770</v>
      </c>
      <c r="M217" s="75" t="s">
        <v>770</v>
      </c>
    </row>
    <row r="218" spans="1:13" x14ac:dyDescent="0.2">
      <c r="A218" s="54">
        <v>217</v>
      </c>
      <c r="B218" s="57">
        <v>172</v>
      </c>
      <c r="C218" s="57" t="s">
        <v>2797</v>
      </c>
      <c r="D218" s="59" t="s">
        <v>2798</v>
      </c>
      <c r="E218" s="57" t="s">
        <v>758</v>
      </c>
      <c r="F218" s="57">
        <v>222.06739999999999</v>
      </c>
      <c r="G218" s="57">
        <v>11.7416</v>
      </c>
      <c r="H218" s="57">
        <v>222.0677</v>
      </c>
      <c r="I218" s="57">
        <v>143.006</v>
      </c>
      <c r="J218" s="57">
        <v>146.05279999999999</v>
      </c>
      <c r="K218" s="57">
        <v>86.015199999999993</v>
      </c>
      <c r="L218" s="75" t="s">
        <v>757</v>
      </c>
      <c r="M218" s="75" t="s">
        <v>757</v>
      </c>
    </row>
    <row r="219" spans="1:13" x14ac:dyDescent="0.2">
      <c r="A219" s="54">
        <v>218</v>
      </c>
      <c r="B219" s="57">
        <v>173</v>
      </c>
      <c r="C219" s="57" t="s">
        <v>1599</v>
      </c>
      <c r="D219" s="59" t="s">
        <v>1600</v>
      </c>
      <c r="E219" s="57" t="s">
        <v>1601</v>
      </c>
      <c r="F219" s="57">
        <v>255.96129999999999</v>
      </c>
      <c r="G219" s="57">
        <v>7.1938000000000004</v>
      </c>
      <c r="H219" s="57">
        <v>255.96090000000001</v>
      </c>
      <c r="I219" s="57">
        <v>257.9579</v>
      </c>
      <c r="J219" s="57">
        <v>186.0231</v>
      </c>
      <c r="K219" s="57">
        <v>259.95499999999998</v>
      </c>
      <c r="L219" s="75" t="s">
        <v>285</v>
      </c>
      <c r="M219" s="75" t="s">
        <v>285</v>
      </c>
    </row>
    <row r="220" spans="1:13" x14ac:dyDescent="0.2">
      <c r="A220" s="54">
        <v>219</v>
      </c>
      <c r="B220" s="57">
        <v>174</v>
      </c>
      <c r="C220" s="57" t="s">
        <v>2802</v>
      </c>
      <c r="D220" s="59" t="s">
        <v>3165</v>
      </c>
      <c r="E220" s="57" t="s">
        <v>773</v>
      </c>
      <c r="F220" s="57">
        <v>237.1001</v>
      </c>
      <c r="G220" s="57">
        <v>9.8126999999999995</v>
      </c>
      <c r="H220" s="57">
        <v>137.09620000000001</v>
      </c>
      <c r="I220" s="57">
        <v>180.15100000000001</v>
      </c>
      <c r="J220" s="57">
        <v>147.11699999999999</v>
      </c>
      <c r="K220" s="57">
        <v>138.10409999999999</v>
      </c>
      <c r="L220" s="75" t="s">
        <v>772</v>
      </c>
      <c r="M220" s="75" t="s">
        <v>772</v>
      </c>
    </row>
    <row r="221" spans="1:13" x14ac:dyDescent="0.2">
      <c r="A221" s="54">
        <v>220</v>
      </c>
      <c r="B221" s="57">
        <v>175</v>
      </c>
      <c r="C221" s="57" t="s">
        <v>2801</v>
      </c>
      <c r="D221" s="59" t="s">
        <v>1313</v>
      </c>
      <c r="E221" s="57" t="s">
        <v>767</v>
      </c>
      <c r="F221" s="57">
        <v>162.0463</v>
      </c>
      <c r="G221" s="57">
        <v>5.3689</v>
      </c>
      <c r="H221" s="57">
        <v>162.04650000000001</v>
      </c>
      <c r="I221" s="57">
        <v>163.05420000000001</v>
      </c>
      <c r="J221" s="57">
        <v>161.03870000000001</v>
      </c>
      <c r="K221" s="57">
        <v>106.0651</v>
      </c>
      <c r="L221" s="75" t="s">
        <v>766</v>
      </c>
      <c r="M221" s="75" t="s">
        <v>766</v>
      </c>
    </row>
    <row r="222" spans="1:13" x14ac:dyDescent="0.2">
      <c r="A222" s="54">
        <v>221</v>
      </c>
      <c r="B222" s="57">
        <v>176</v>
      </c>
      <c r="C222" s="57" t="s">
        <v>2166</v>
      </c>
      <c r="D222" s="59" t="s">
        <v>2167</v>
      </c>
      <c r="E222" s="57" t="s">
        <v>2168</v>
      </c>
      <c r="F222" s="57">
        <v>310.02510000000001</v>
      </c>
      <c r="G222" s="57">
        <v>11.6854</v>
      </c>
      <c r="H222" s="57">
        <v>310.02350000000001</v>
      </c>
      <c r="I222" s="57">
        <v>109.01049999999999</v>
      </c>
      <c r="J222" s="57">
        <v>108.0026</v>
      </c>
      <c r="K222" s="57">
        <v>218.02170000000001</v>
      </c>
      <c r="L222" s="75" t="s">
        <v>3422</v>
      </c>
      <c r="M222" s="75" t="s">
        <v>3422</v>
      </c>
    </row>
    <row r="223" spans="1:13" x14ac:dyDescent="0.2">
      <c r="A223" s="54">
        <v>222</v>
      </c>
      <c r="B223" s="57">
        <v>177</v>
      </c>
      <c r="C223" s="57" t="s">
        <v>1789</v>
      </c>
      <c r="D223" s="59" t="s">
        <v>1790</v>
      </c>
      <c r="E223" s="57" t="s">
        <v>1791</v>
      </c>
      <c r="F223" s="57">
        <v>319.8965</v>
      </c>
      <c r="G223" s="57">
        <v>12.8329</v>
      </c>
      <c r="H223" s="57">
        <v>319.90309999999999</v>
      </c>
      <c r="I223" s="57">
        <v>318.90050000000002</v>
      </c>
      <c r="J223" s="57">
        <v>320.89760000000001</v>
      </c>
      <c r="K223" s="57">
        <v>322.89389999999997</v>
      </c>
      <c r="L223" s="75" t="s">
        <v>3409</v>
      </c>
      <c r="M223" s="75" t="s">
        <v>3409</v>
      </c>
    </row>
    <row r="224" spans="1:13" x14ac:dyDescent="0.2">
      <c r="A224" s="54">
        <v>223</v>
      </c>
      <c r="B224" s="57">
        <v>178</v>
      </c>
      <c r="C224" s="57" t="s">
        <v>3124</v>
      </c>
      <c r="D224" s="59" t="s">
        <v>3125</v>
      </c>
      <c r="E224" s="57" t="s">
        <v>3126</v>
      </c>
      <c r="F224" s="57">
        <v>499.9375</v>
      </c>
      <c r="G224" s="57">
        <v>13.1083</v>
      </c>
      <c r="H224" s="57">
        <v>499.94</v>
      </c>
      <c r="I224" s="57">
        <v>497.89069999999998</v>
      </c>
      <c r="J224" s="57">
        <v>119.907</v>
      </c>
      <c r="K224" s="57">
        <v>168.8681</v>
      </c>
      <c r="L224" s="75" t="s">
        <v>3490</v>
      </c>
      <c r="M224" s="75" t="s">
        <v>3490</v>
      </c>
    </row>
    <row r="225" spans="1:13" x14ac:dyDescent="0.2">
      <c r="A225" s="54">
        <v>224</v>
      </c>
      <c r="B225" s="57">
        <v>179</v>
      </c>
      <c r="C225" s="57" t="s">
        <v>2691</v>
      </c>
      <c r="D225" s="59" t="s">
        <v>3306</v>
      </c>
      <c r="E225" s="57" t="s">
        <v>554</v>
      </c>
      <c r="F225" s="57">
        <v>224.9151</v>
      </c>
      <c r="G225" s="57">
        <v>4.5552000000000001</v>
      </c>
      <c r="H225" s="57">
        <v>224.91470000000001</v>
      </c>
      <c r="I225" s="57">
        <v>194.91669999999999</v>
      </c>
      <c r="J225" s="57">
        <v>196.91370000000001</v>
      </c>
      <c r="K225" s="57">
        <v>198.91079999999999</v>
      </c>
      <c r="L225" s="75" t="s">
        <v>553</v>
      </c>
      <c r="M225" s="75" t="s">
        <v>553</v>
      </c>
    </row>
    <row r="226" spans="1:13" x14ac:dyDescent="0.2">
      <c r="A226" s="54">
        <v>225</v>
      </c>
      <c r="B226" s="57">
        <v>180</v>
      </c>
      <c r="C226" s="57" t="s">
        <v>2179</v>
      </c>
      <c r="D226" s="59" t="s">
        <v>2180</v>
      </c>
      <c r="E226" s="57" t="s">
        <v>691</v>
      </c>
      <c r="F226" s="57">
        <v>411.83530000000002</v>
      </c>
      <c r="G226" s="57">
        <v>9.7632999999999992</v>
      </c>
      <c r="H226" s="57">
        <v>376.86669999999998</v>
      </c>
      <c r="I226" s="57">
        <v>378.86540000000002</v>
      </c>
      <c r="J226" s="57">
        <v>125.09610000000001</v>
      </c>
      <c r="K226" s="57">
        <v>411.83510000000001</v>
      </c>
      <c r="L226" s="75" t="s">
        <v>690</v>
      </c>
      <c r="M226" s="75" t="s">
        <v>690</v>
      </c>
    </row>
    <row r="227" spans="1:13" x14ac:dyDescent="0.2">
      <c r="A227" s="54">
        <v>226</v>
      </c>
      <c r="B227" s="57">
        <v>181</v>
      </c>
      <c r="C227" s="57" t="s">
        <v>2121</v>
      </c>
      <c r="D227" s="59" t="s">
        <v>2122</v>
      </c>
      <c r="E227" s="57" t="s">
        <v>2123</v>
      </c>
      <c r="F227" s="57">
        <v>425.94659999999999</v>
      </c>
      <c r="G227" s="57">
        <v>13.276999999999999</v>
      </c>
      <c r="H227" s="57">
        <v>340.89940000000001</v>
      </c>
      <c r="I227" s="57">
        <v>182.9442</v>
      </c>
      <c r="J227" s="57">
        <v>184.94210000000001</v>
      </c>
      <c r="K227" s="57">
        <v>338.90159999999997</v>
      </c>
      <c r="L227" s="75" t="s">
        <v>3476</v>
      </c>
      <c r="M227" s="75" t="s">
        <v>3476</v>
      </c>
    </row>
    <row r="228" spans="1:13" x14ac:dyDescent="0.2">
      <c r="A228" s="54">
        <v>227</v>
      </c>
      <c r="B228" s="57">
        <v>182</v>
      </c>
      <c r="C228" s="57" t="s">
        <v>1775</v>
      </c>
      <c r="D228" s="59" t="s">
        <v>1776</v>
      </c>
      <c r="E228" s="57" t="s">
        <v>1777</v>
      </c>
      <c r="F228" s="57">
        <v>559.62599999999998</v>
      </c>
      <c r="G228" s="57">
        <v>16.7852</v>
      </c>
      <c r="H228" s="57">
        <v>403.78629999999998</v>
      </c>
      <c r="I228" s="57">
        <v>405.78410000000002</v>
      </c>
      <c r="J228" s="57">
        <v>563.62199999999996</v>
      </c>
      <c r="K228" s="57">
        <v>565.62</v>
      </c>
      <c r="L228" s="75" t="s">
        <v>339</v>
      </c>
      <c r="M228" s="75" t="s">
        <v>339</v>
      </c>
    </row>
    <row r="229" spans="1:13" x14ac:dyDescent="0.2">
      <c r="A229" s="54">
        <v>228</v>
      </c>
      <c r="B229" s="57">
        <v>183</v>
      </c>
      <c r="C229" s="57" t="s">
        <v>1937</v>
      </c>
      <c r="D229" s="59" t="s">
        <v>1938</v>
      </c>
      <c r="E229" s="57" t="s">
        <v>1939</v>
      </c>
      <c r="F229" s="57">
        <v>293.83980000000003</v>
      </c>
      <c r="G229" s="57">
        <v>7.7439</v>
      </c>
      <c r="H229" s="57">
        <v>293.83969999999999</v>
      </c>
      <c r="I229" s="57">
        <v>295.83670000000001</v>
      </c>
      <c r="J229" s="57">
        <v>297.83370000000002</v>
      </c>
      <c r="K229" s="57">
        <v>245.84440000000001</v>
      </c>
      <c r="L229" s="75" t="s">
        <v>3471</v>
      </c>
      <c r="M229" s="75" t="s">
        <v>3471</v>
      </c>
    </row>
    <row r="230" spans="1:13" x14ac:dyDescent="0.2">
      <c r="A230" s="54">
        <v>229</v>
      </c>
      <c r="B230" s="57">
        <v>184</v>
      </c>
      <c r="C230" s="57" t="s">
        <v>1935</v>
      </c>
      <c r="D230" s="59" t="s">
        <v>1936</v>
      </c>
      <c r="E230" s="57" t="s">
        <v>140</v>
      </c>
      <c r="F230" s="57">
        <v>277.86259999999999</v>
      </c>
      <c r="G230" s="57">
        <v>6.0471000000000004</v>
      </c>
      <c r="H230" s="57">
        <v>277.8621</v>
      </c>
      <c r="I230" s="57">
        <v>236.8409</v>
      </c>
      <c r="J230" s="57">
        <v>264.83620000000002</v>
      </c>
      <c r="K230" s="57">
        <v>279.85950000000003</v>
      </c>
      <c r="L230" s="75" t="s">
        <v>139</v>
      </c>
      <c r="M230" s="75" t="s">
        <v>139</v>
      </c>
    </row>
    <row r="231" spans="1:13" x14ac:dyDescent="0.2">
      <c r="A231" s="54">
        <v>230</v>
      </c>
      <c r="B231" s="57">
        <v>185</v>
      </c>
      <c r="C231" s="57" t="s">
        <v>1713</v>
      </c>
      <c r="D231" s="59" t="s">
        <v>1714</v>
      </c>
      <c r="E231" s="57" t="s">
        <v>1715</v>
      </c>
      <c r="F231" s="57">
        <v>637.53599999999994</v>
      </c>
      <c r="G231" s="57">
        <v>19.417000000000002</v>
      </c>
      <c r="H231" s="57">
        <v>483.69459999999998</v>
      </c>
      <c r="I231" s="57">
        <v>481.6968</v>
      </c>
      <c r="J231" s="57">
        <v>485.69260000000003</v>
      </c>
      <c r="K231" s="57">
        <v>643.5317</v>
      </c>
      <c r="L231" s="75" t="s">
        <v>3461</v>
      </c>
      <c r="M231" s="75" t="s">
        <v>3461</v>
      </c>
    </row>
    <row r="232" spans="1:13" x14ac:dyDescent="0.2">
      <c r="A232" s="54">
        <v>231</v>
      </c>
      <c r="B232" s="57">
        <v>186</v>
      </c>
      <c r="C232" s="57" t="s">
        <v>2707</v>
      </c>
      <c r="D232" s="59" t="s">
        <v>2708</v>
      </c>
      <c r="E232" s="57" t="s">
        <v>2709</v>
      </c>
      <c r="F232" s="57">
        <v>249.01929999999999</v>
      </c>
      <c r="G232" s="57">
        <v>9.1820000000000004</v>
      </c>
      <c r="H232" s="57">
        <v>249.0187</v>
      </c>
      <c r="I232" s="57">
        <v>251.01589999999999</v>
      </c>
      <c r="J232" s="57">
        <v>250.0222</v>
      </c>
      <c r="K232" s="57">
        <v>252.01920000000001</v>
      </c>
      <c r="L232" s="75" t="s">
        <v>3486</v>
      </c>
      <c r="M232" s="75" t="s">
        <v>3486</v>
      </c>
    </row>
    <row r="233" spans="1:13" x14ac:dyDescent="0.2">
      <c r="A233" s="54">
        <v>232</v>
      </c>
      <c r="B233" s="57">
        <v>187</v>
      </c>
      <c r="C233" s="57" t="s">
        <v>1966</v>
      </c>
      <c r="D233" s="59" t="s">
        <v>1967</v>
      </c>
      <c r="E233" s="57" t="s">
        <v>1968</v>
      </c>
      <c r="F233" s="57">
        <v>282.9803</v>
      </c>
      <c r="G233" s="57">
        <v>10.1561</v>
      </c>
      <c r="H233" s="57">
        <v>282.97989999999999</v>
      </c>
      <c r="I233" s="57">
        <v>202.0179</v>
      </c>
      <c r="J233" s="57">
        <v>284.97710000000001</v>
      </c>
      <c r="K233" s="57">
        <v>204.01499999999999</v>
      </c>
      <c r="L233" s="75" t="s">
        <v>557</v>
      </c>
      <c r="M233" s="75" t="s">
        <v>557</v>
      </c>
    </row>
    <row r="234" spans="1:13" x14ac:dyDescent="0.2">
      <c r="A234" s="54">
        <v>233</v>
      </c>
      <c r="B234" s="57">
        <v>188</v>
      </c>
      <c r="C234" s="57" t="s">
        <v>2725</v>
      </c>
      <c r="D234" s="59" t="s">
        <v>3588</v>
      </c>
      <c r="E234" s="57" t="s">
        <v>2726</v>
      </c>
      <c r="F234" s="57">
        <v>615.87210000000005</v>
      </c>
      <c r="G234" s="57">
        <v>10.1561</v>
      </c>
      <c r="H234" s="57">
        <v>282.97969999999998</v>
      </c>
      <c r="I234" s="57">
        <v>252.98169999999999</v>
      </c>
      <c r="J234" s="57">
        <v>254.97880000000001</v>
      </c>
      <c r="K234" s="57">
        <v>284.97669999999999</v>
      </c>
      <c r="L234" s="75" t="s">
        <v>3613</v>
      </c>
      <c r="M234" s="76" t="s">
        <v>3428</v>
      </c>
    </row>
    <row r="235" spans="1:13" x14ac:dyDescent="0.2">
      <c r="A235" s="54">
        <v>234</v>
      </c>
      <c r="B235" s="57">
        <v>189</v>
      </c>
      <c r="C235" s="57" t="s">
        <v>2135</v>
      </c>
      <c r="D235" s="59" t="s">
        <v>2136</v>
      </c>
      <c r="E235" s="57" t="s">
        <v>2137</v>
      </c>
      <c r="F235" s="57">
        <v>329.90199999999999</v>
      </c>
      <c r="G235" s="57">
        <v>8.0526</v>
      </c>
      <c r="H235" s="57">
        <v>329.90159999999997</v>
      </c>
      <c r="I235" s="57">
        <v>300.88049999999998</v>
      </c>
      <c r="J235" s="57">
        <v>298.88350000000003</v>
      </c>
      <c r="K235" s="57">
        <v>302.8775</v>
      </c>
      <c r="L235" s="75" t="s">
        <v>3430</v>
      </c>
      <c r="M235" s="75" t="s">
        <v>3430</v>
      </c>
    </row>
    <row r="236" spans="1:13" x14ac:dyDescent="0.2">
      <c r="A236" s="54">
        <v>235</v>
      </c>
      <c r="B236" s="57">
        <v>190</v>
      </c>
      <c r="C236" s="57" t="s">
        <v>2695</v>
      </c>
      <c r="D236" s="59" t="s">
        <v>2696</v>
      </c>
      <c r="E236" s="57" t="s">
        <v>2697</v>
      </c>
      <c r="F236" s="57">
        <v>224.9151</v>
      </c>
      <c r="G236" s="57">
        <v>5.1355000000000004</v>
      </c>
      <c r="H236" s="57">
        <v>224.91470000000001</v>
      </c>
      <c r="I236" s="57">
        <v>194.91669999999999</v>
      </c>
      <c r="J236" s="57">
        <v>196.91370000000001</v>
      </c>
      <c r="K236" s="57">
        <v>198.91079999999999</v>
      </c>
      <c r="L236" s="75" t="s">
        <v>553</v>
      </c>
      <c r="M236" s="75" t="s">
        <v>553</v>
      </c>
    </row>
    <row r="237" spans="1:13" x14ac:dyDescent="0.2">
      <c r="A237" s="54">
        <v>236</v>
      </c>
      <c r="B237" s="57">
        <v>191</v>
      </c>
      <c r="C237" s="57" t="s">
        <v>2840</v>
      </c>
      <c r="D237" s="59" t="s">
        <v>2841</v>
      </c>
      <c r="E237" s="57" t="s">
        <v>533</v>
      </c>
      <c r="F237" s="57">
        <v>245.81309999999999</v>
      </c>
      <c r="G237" s="57">
        <v>19.345500000000001</v>
      </c>
      <c r="H237" s="57">
        <v>245.81290000000001</v>
      </c>
      <c r="I237" s="57">
        <v>213.11250000000001</v>
      </c>
      <c r="J237" s="57">
        <v>211.14320000000001</v>
      </c>
      <c r="K237" s="57">
        <v>215.1155</v>
      </c>
      <c r="L237" s="75" t="s">
        <v>532</v>
      </c>
      <c r="M237" s="75" t="s">
        <v>532</v>
      </c>
    </row>
    <row r="238" spans="1:13" x14ac:dyDescent="0.2">
      <c r="A238" s="54">
        <v>237</v>
      </c>
      <c r="B238" s="57">
        <v>192</v>
      </c>
      <c r="C238" s="57" t="s">
        <v>1703</v>
      </c>
      <c r="D238" s="59" t="s">
        <v>1704</v>
      </c>
      <c r="E238" s="57" t="s">
        <v>336</v>
      </c>
      <c r="F238" s="57">
        <v>481.71519999999998</v>
      </c>
      <c r="G238" s="57">
        <v>14.3254</v>
      </c>
      <c r="H238" s="57">
        <v>325.87599999999998</v>
      </c>
      <c r="I238" s="57">
        <v>485.71050000000002</v>
      </c>
      <c r="J238" s="57">
        <v>483.71249999999998</v>
      </c>
      <c r="K238" s="57">
        <v>323.87810000000002</v>
      </c>
      <c r="L238" s="75" t="s">
        <v>335</v>
      </c>
      <c r="M238" s="75" t="s">
        <v>335</v>
      </c>
    </row>
    <row r="239" spans="1:13" x14ac:dyDescent="0.2">
      <c r="A239" s="54">
        <v>238</v>
      </c>
      <c r="B239" s="57">
        <v>193</v>
      </c>
      <c r="C239" s="57" t="s">
        <v>1705</v>
      </c>
      <c r="D239" s="59" t="s">
        <v>1706</v>
      </c>
      <c r="E239" s="57" t="s">
        <v>1707</v>
      </c>
      <c r="F239" s="57">
        <v>481.71519999999998</v>
      </c>
      <c r="G239" s="57">
        <v>13.4102</v>
      </c>
      <c r="H239" s="57">
        <v>325.87599999999998</v>
      </c>
      <c r="I239" s="57">
        <v>485.71050000000002</v>
      </c>
      <c r="J239" s="57">
        <v>323.87810000000002</v>
      </c>
      <c r="K239" s="57">
        <v>327.87380000000002</v>
      </c>
      <c r="L239" s="75" t="s">
        <v>335</v>
      </c>
      <c r="M239" s="75" t="s">
        <v>335</v>
      </c>
    </row>
    <row r="240" spans="1:13" x14ac:dyDescent="0.2">
      <c r="A240" s="54">
        <v>239</v>
      </c>
      <c r="B240" s="57">
        <v>194</v>
      </c>
      <c r="C240" s="57" t="s">
        <v>1711</v>
      </c>
      <c r="D240" s="59" t="s">
        <v>1712</v>
      </c>
      <c r="E240" s="57" t="s">
        <v>340</v>
      </c>
      <c r="F240" s="57">
        <v>559.62599999999998</v>
      </c>
      <c r="G240" s="57">
        <v>16.0185</v>
      </c>
      <c r="H240" s="57">
        <v>403.78649999999999</v>
      </c>
      <c r="I240" s="57">
        <v>419.82229999999998</v>
      </c>
      <c r="J240" s="57">
        <v>563.62199999999996</v>
      </c>
      <c r="K240" s="57">
        <v>559.62599999999998</v>
      </c>
      <c r="L240" s="75" t="s">
        <v>339</v>
      </c>
      <c r="M240" s="75" t="s">
        <v>339</v>
      </c>
    </row>
    <row r="241" spans="1:13" x14ac:dyDescent="0.2">
      <c r="A241" s="54">
        <v>240</v>
      </c>
      <c r="B241" s="57">
        <v>195</v>
      </c>
      <c r="C241" s="57" t="s">
        <v>1943</v>
      </c>
      <c r="D241" s="59" t="s">
        <v>1944</v>
      </c>
      <c r="E241" s="57" t="s">
        <v>1945</v>
      </c>
      <c r="F241" s="57">
        <v>263.88159999999999</v>
      </c>
      <c r="G241" s="57">
        <v>6.3437999999999999</v>
      </c>
      <c r="H241" s="57">
        <v>263.84649999999999</v>
      </c>
      <c r="I241" s="57">
        <v>268.84070000000003</v>
      </c>
      <c r="J241" s="57">
        <v>272.84690000000001</v>
      </c>
      <c r="K241" s="57">
        <v>269.83749999999998</v>
      </c>
      <c r="L241" s="75" t="s">
        <v>3501</v>
      </c>
      <c r="M241" s="75" t="s">
        <v>3501</v>
      </c>
    </row>
    <row r="242" spans="1:13" x14ac:dyDescent="0.2">
      <c r="A242" s="54">
        <v>241</v>
      </c>
      <c r="B242" s="57">
        <v>196</v>
      </c>
      <c r="C242" s="57" t="s">
        <v>2910</v>
      </c>
      <c r="D242" s="59" t="s">
        <v>3307</v>
      </c>
      <c r="E242" s="57" t="s">
        <v>447</v>
      </c>
      <c r="F242" s="57">
        <v>276.09390000000002</v>
      </c>
      <c r="G242" s="57">
        <v>19.479199999999999</v>
      </c>
      <c r="H242" s="57">
        <v>276.09379999999999</v>
      </c>
      <c r="I242" s="57">
        <v>274.07819999999998</v>
      </c>
      <c r="J242" s="57">
        <v>277.09690000000001</v>
      </c>
      <c r="K242" s="57">
        <v>137.0385</v>
      </c>
      <c r="L242" s="75" t="s">
        <v>446</v>
      </c>
      <c r="M242" s="75" t="s">
        <v>446</v>
      </c>
    </row>
    <row r="243" spans="1:13" x14ac:dyDescent="0.2">
      <c r="A243" s="54">
        <v>242</v>
      </c>
      <c r="B243" s="57" t="s">
        <v>1</v>
      </c>
      <c r="C243" s="57" t="s">
        <v>2306</v>
      </c>
      <c r="D243" s="59" t="s">
        <v>1</v>
      </c>
      <c r="E243" s="57" t="s">
        <v>1</v>
      </c>
      <c r="F243" s="57" t="s">
        <v>1</v>
      </c>
      <c r="G243" s="57">
        <v>19.7667</v>
      </c>
      <c r="H243" s="57">
        <v>276.09379999999999</v>
      </c>
      <c r="I243" s="57">
        <v>277.09710000000001</v>
      </c>
      <c r="J243" s="57">
        <v>274.07839999999999</v>
      </c>
      <c r="K243" s="57">
        <v>272.06270000000001</v>
      </c>
      <c r="L243" s="75">
        <v>0</v>
      </c>
      <c r="M243" s="75" t="s">
        <v>1</v>
      </c>
    </row>
    <row r="244" spans="1:13" x14ac:dyDescent="0.2">
      <c r="A244" s="54">
        <v>243</v>
      </c>
      <c r="B244" s="57">
        <v>197</v>
      </c>
      <c r="C244" s="57" t="s">
        <v>2051</v>
      </c>
      <c r="D244" s="59" t="s">
        <v>2052</v>
      </c>
      <c r="E244" s="57" t="s">
        <v>805</v>
      </c>
      <c r="F244" s="57">
        <v>215.09379999999999</v>
      </c>
      <c r="G244" s="57">
        <v>6.2751999999999999</v>
      </c>
      <c r="H244" s="57">
        <v>215.0932</v>
      </c>
      <c r="I244" s="57">
        <v>200.06950000000001</v>
      </c>
      <c r="J244" s="57">
        <v>202.06659999999999</v>
      </c>
      <c r="K244" s="57">
        <v>173.04599999999999</v>
      </c>
      <c r="L244" s="75" t="s">
        <v>804</v>
      </c>
      <c r="M244" s="75" t="s">
        <v>804</v>
      </c>
    </row>
    <row r="245" spans="1:13" x14ac:dyDescent="0.2">
      <c r="A245" s="54">
        <v>244</v>
      </c>
      <c r="B245" s="57" t="s">
        <v>1</v>
      </c>
      <c r="C245" s="57" t="s">
        <v>3023</v>
      </c>
      <c r="D245" s="59" t="s">
        <v>1</v>
      </c>
      <c r="E245" s="57" t="s">
        <v>1</v>
      </c>
      <c r="F245" s="57" t="s">
        <v>1</v>
      </c>
      <c r="G245" s="57">
        <v>6.2858000000000001</v>
      </c>
      <c r="H245" s="57">
        <v>215.0932</v>
      </c>
      <c r="I245" s="57">
        <v>200.06979999999999</v>
      </c>
      <c r="J245" s="57">
        <v>217.09030000000001</v>
      </c>
      <c r="K245" s="57">
        <v>216.0966</v>
      </c>
      <c r="L245" s="75">
        <v>0</v>
      </c>
      <c r="M245" s="75" t="s">
        <v>1</v>
      </c>
    </row>
    <row r="246" spans="1:13" x14ac:dyDescent="0.2">
      <c r="A246" s="54">
        <v>245</v>
      </c>
      <c r="B246" s="57">
        <v>198</v>
      </c>
      <c r="C246" s="57" t="s">
        <v>2357</v>
      </c>
      <c r="D246" s="59" t="s">
        <v>2358</v>
      </c>
      <c r="E246" s="57" t="s">
        <v>788</v>
      </c>
      <c r="F246" s="57">
        <v>219.96940000000001</v>
      </c>
      <c r="G246" s="57">
        <v>13.046799999999999</v>
      </c>
      <c r="H246" s="57">
        <v>175.0155</v>
      </c>
      <c r="I246" s="57">
        <v>245.9675</v>
      </c>
      <c r="J246" s="57">
        <v>219.9708</v>
      </c>
      <c r="K246" s="57">
        <v>172.84200000000001</v>
      </c>
      <c r="L246" s="75" t="s">
        <v>787</v>
      </c>
      <c r="M246" s="75" t="s">
        <v>787</v>
      </c>
    </row>
    <row r="247" spans="1:13" x14ac:dyDescent="0.2">
      <c r="A247" s="54">
        <v>246</v>
      </c>
      <c r="B247" s="57">
        <v>199</v>
      </c>
      <c r="C247" s="57" t="s">
        <v>2362</v>
      </c>
      <c r="D247" s="59" t="s">
        <v>2363</v>
      </c>
      <c r="E247" s="57" t="s">
        <v>3229</v>
      </c>
      <c r="F247" s="57">
        <v>239.92599999999999</v>
      </c>
      <c r="G247" s="57">
        <v>5.7553000000000001</v>
      </c>
      <c r="H247" s="57">
        <v>239.92410000000001</v>
      </c>
      <c r="I247" s="57">
        <v>145.9256</v>
      </c>
      <c r="J247" s="57">
        <v>160.9222</v>
      </c>
      <c r="K247" s="57">
        <v>111.92019999999999</v>
      </c>
      <c r="L247" s="75" t="s">
        <v>3459</v>
      </c>
      <c r="M247" s="75" t="s">
        <v>3459</v>
      </c>
    </row>
    <row r="248" spans="1:13" x14ac:dyDescent="0.2">
      <c r="A248" s="54">
        <v>247</v>
      </c>
      <c r="B248" s="57">
        <v>200</v>
      </c>
      <c r="C248" s="57" t="s">
        <v>2037</v>
      </c>
      <c r="D248" s="59" t="s">
        <v>2038</v>
      </c>
      <c r="E248" s="57" t="s">
        <v>891</v>
      </c>
      <c r="F248" s="57">
        <v>211.07640000000001</v>
      </c>
      <c r="G248" s="57">
        <v>7.9222999999999999</v>
      </c>
      <c r="H248" s="57">
        <v>211.07589999999999</v>
      </c>
      <c r="I248" s="57">
        <v>162.1275</v>
      </c>
      <c r="J248" s="57">
        <v>238.09960000000001</v>
      </c>
      <c r="K248" s="57">
        <v>163.13069999999999</v>
      </c>
      <c r="L248" s="75" t="s">
        <v>890</v>
      </c>
      <c r="M248" s="75" t="s">
        <v>890</v>
      </c>
    </row>
    <row r="249" spans="1:13" x14ac:dyDescent="0.2">
      <c r="A249" s="54">
        <v>248</v>
      </c>
      <c r="B249" s="57">
        <v>201</v>
      </c>
      <c r="C249" s="57" t="s">
        <v>2433</v>
      </c>
      <c r="D249" s="59" t="s">
        <v>1162</v>
      </c>
      <c r="E249" s="57" t="s">
        <v>338</v>
      </c>
      <c r="F249" s="57">
        <v>1009.4062</v>
      </c>
      <c r="G249" s="57">
        <v>10.026999999999999</v>
      </c>
      <c r="H249" s="57">
        <v>255.23179999999999</v>
      </c>
      <c r="I249" s="57">
        <v>241.21610000000001</v>
      </c>
      <c r="J249" s="57">
        <v>227.2004</v>
      </c>
      <c r="K249" s="57">
        <v>228.2038</v>
      </c>
      <c r="L249" s="75" t="s">
        <v>337</v>
      </c>
      <c r="M249" s="75" t="s">
        <v>337</v>
      </c>
    </row>
    <row r="250" spans="1:13" x14ac:dyDescent="0.2">
      <c r="A250" s="54">
        <v>249</v>
      </c>
      <c r="B250" s="57">
        <v>202</v>
      </c>
      <c r="C250" s="57" t="s">
        <v>2769</v>
      </c>
      <c r="D250" s="59" t="s">
        <v>1270</v>
      </c>
      <c r="E250" s="57" t="s">
        <v>831</v>
      </c>
      <c r="F250" s="57">
        <v>203.1344</v>
      </c>
      <c r="G250" s="57">
        <v>4.6059000000000001</v>
      </c>
      <c r="H250" s="57">
        <v>203.13380000000001</v>
      </c>
      <c r="I250" s="57">
        <v>128.1071</v>
      </c>
      <c r="J250" s="57">
        <v>129.1104</v>
      </c>
      <c r="K250" s="57">
        <v>86.060400000000001</v>
      </c>
      <c r="L250" s="75" t="s">
        <v>821</v>
      </c>
      <c r="M250" s="75" t="s">
        <v>821</v>
      </c>
    </row>
    <row r="251" spans="1:13" x14ac:dyDescent="0.2">
      <c r="A251" s="54">
        <v>250</v>
      </c>
      <c r="B251" s="57">
        <v>203</v>
      </c>
      <c r="C251" s="57" t="s">
        <v>2947</v>
      </c>
      <c r="D251" s="59" t="s">
        <v>3308</v>
      </c>
      <c r="E251" s="57" t="s">
        <v>451</v>
      </c>
      <c r="F251" s="57">
        <v>276.09390000000002</v>
      </c>
      <c r="G251" s="57">
        <v>19.819099999999999</v>
      </c>
      <c r="H251" s="57">
        <v>276.09379999999999</v>
      </c>
      <c r="I251" s="57">
        <v>274.07819999999998</v>
      </c>
      <c r="J251" s="57">
        <v>277.09690000000001</v>
      </c>
      <c r="K251" s="57">
        <v>137.0385</v>
      </c>
      <c r="L251" s="75" t="s">
        <v>446</v>
      </c>
      <c r="M251" s="75" t="s">
        <v>446</v>
      </c>
    </row>
    <row r="252" spans="1:13" x14ac:dyDescent="0.2">
      <c r="A252" s="54">
        <v>251</v>
      </c>
      <c r="B252" s="57" t="s">
        <v>1</v>
      </c>
      <c r="C252" s="57" t="s">
        <v>2313</v>
      </c>
      <c r="D252" s="59" t="s">
        <v>1</v>
      </c>
      <c r="E252" s="57" t="s">
        <v>1</v>
      </c>
      <c r="F252" s="57" t="s">
        <v>1</v>
      </c>
      <c r="G252" s="57">
        <v>20.085100000000001</v>
      </c>
      <c r="H252" s="57">
        <v>276.09379999999999</v>
      </c>
      <c r="I252" s="57">
        <v>277.09710000000001</v>
      </c>
      <c r="J252" s="57">
        <v>274.07839999999999</v>
      </c>
      <c r="K252" s="57">
        <v>272.06270000000001</v>
      </c>
      <c r="L252" s="75">
        <v>0</v>
      </c>
      <c r="M252" s="75" t="s">
        <v>1</v>
      </c>
    </row>
    <row r="253" spans="1:13" x14ac:dyDescent="0.2">
      <c r="A253" s="54">
        <v>252</v>
      </c>
      <c r="B253" s="57">
        <v>204</v>
      </c>
      <c r="C253" s="57" t="s">
        <v>1806</v>
      </c>
      <c r="D253" s="59" t="s">
        <v>1807</v>
      </c>
      <c r="E253" s="57" t="s">
        <v>1808</v>
      </c>
      <c r="F253" s="57">
        <v>387.8186</v>
      </c>
      <c r="G253" s="57">
        <v>16.819099999999999</v>
      </c>
      <c r="H253" s="57">
        <v>389.81619999999998</v>
      </c>
      <c r="I253" s="57">
        <v>391.81310000000002</v>
      </c>
      <c r="J253" s="57">
        <v>387.81900000000002</v>
      </c>
      <c r="K253" s="57">
        <v>393.80970000000002</v>
      </c>
      <c r="L253" s="75" t="s">
        <v>3445</v>
      </c>
      <c r="M253" s="75" t="s">
        <v>3445</v>
      </c>
    </row>
    <row r="254" spans="1:13" x14ac:dyDescent="0.2">
      <c r="A254" s="54">
        <v>253</v>
      </c>
      <c r="B254" s="57">
        <v>205</v>
      </c>
      <c r="C254" s="57" t="s">
        <v>2031</v>
      </c>
      <c r="D254" s="59" t="s">
        <v>2032</v>
      </c>
      <c r="E254" s="57" t="s">
        <v>790</v>
      </c>
      <c r="F254" s="57">
        <v>344.06950000000001</v>
      </c>
      <c r="G254" s="57">
        <v>10.1358</v>
      </c>
      <c r="H254" s="57">
        <v>344.06880000000001</v>
      </c>
      <c r="I254" s="57">
        <v>174.9588</v>
      </c>
      <c r="J254" s="57">
        <v>176.95580000000001</v>
      </c>
      <c r="K254" s="57">
        <v>258.03199999999998</v>
      </c>
      <c r="L254" s="75" t="s">
        <v>789</v>
      </c>
      <c r="M254" s="75" t="s">
        <v>789</v>
      </c>
    </row>
    <row r="255" spans="1:13" x14ac:dyDescent="0.2">
      <c r="A255" s="54">
        <v>254</v>
      </c>
      <c r="B255" s="57">
        <v>206</v>
      </c>
      <c r="C255" s="57" t="s">
        <v>2756</v>
      </c>
      <c r="D255" s="59" t="s">
        <v>2757</v>
      </c>
      <c r="E255" s="57" t="s">
        <v>861</v>
      </c>
      <c r="F255" s="57">
        <v>232.1576</v>
      </c>
      <c r="G255" s="57">
        <v>9.9282000000000004</v>
      </c>
      <c r="H255" s="57">
        <v>232.15719999999999</v>
      </c>
      <c r="I255" s="57">
        <v>93.057400000000001</v>
      </c>
      <c r="J255" s="57">
        <v>92.049599999999998</v>
      </c>
      <c r="K255" s="57">
        <v>94.060699999999997</v>
      </c>
      <c r="L255" s="75" t="s">
        <v>860</v>
      </c>
      <c r="M255" s="75" t="s">
        <v>860</v>
      </c>
    </row>
    <row r="256" spans="1:13" x14ac:dyDescent="0.2">
      <c r="A256" s="54">
        <v>255</v>
      </c>
      <c r="B256" s="57">
        <v>207</v>
      </c>
      <c r="C256" s="57" t="s">
        <v>3042</v>
      </c>
      <c r="D256" s="59" t="s">
        <v>1240</v>
      </c>
      <c r="E256" s="57" t="s">
        <v>830</v>
      </c>
      <c r="F256" s="57">
        <v>217.15</v>
      </c>
      <c r="G256" s="57">
        <v>4.5057999999999998</v>
      </c>
      <c r="H256" s="57">
        <v>217.14920000000001</v>
      </c>
      <c r="I256" s="57">
        <v>146.09960000000001</v>
      </c>
      <c r="J256" s="57">
        <v>156.13820000000001</v>
      </c>
      <c r="K256" s="57">
        <v>188.11019999999999</v>
      </c>
      <c r="L256" s="75" t="s">
        <v>829</v>
      </c>
      <c r="M256" s="75" t="s">
        <v>829</v>
      </c>
    </row>
    <row r="257" spans="1:13" x14ac:dyDescent="0.2">
      <c r="A257" s="54">
        <v>256</v>
      </c>
      <c r="B257" s="57" t="s">
        <v>1</v>
      </c>
      <c r="C257" s="57" t="s">
        <v>2764</v>
      </c>
      <c r="D257" s="59" t="s">
        <v>1</v>
      </c>
      <c r="E257" s="57" t="s">
        <v>1</v>
      </c>
      <c r="F257" s="57" t="s">
        <v>1</v>
      </c>
      <c r="G257" s="57">
        <v>4.5048000000000004</v>
      </c>
      <c r="H257" s="57">
        <v>217.14959999999999</v>
      </c>
      <c r="I257" s="57">
        <v>146.09989999999999</v>
      </c>
      <c r="J257" s="57">
        <v>156.13839999999999</v>
      </c>
      <c r="K257" s="57">
        <v>188.1104</v>
      </c>
      <c r="L257" s="75">
        <v>0</v>
      </c>
      <c r="M257" s="75" t="s">
        <v>1</v>
      </c>
    </row>
    <row r="258" spans="1:13" x14ac:dyDescent="0.2">
      <c r="A258" s="54">
        <v>257</v>
      </c>
      <c r="B258" s="57">
        <v>208</v>
      </c>
      <c r="C258" s="57" t="s">
        <v>2808</v>
      </c>
      <c r="D258" s="59" t="s">
        <v>3230</v>
      </c>
      <c r="E258" s="57" t="s">
        <v>2809</v>
      </c>
      <c r="F258" s="57">
        <v>225.08240000000001</v>
      </c>
      <c r="G258" s="57">
        <v>11.7281</v>
      </c>
      <c r="H258" s="57">
        <v>168.001</v>
      </c>
      <c r="I258" s="57">
        <v>109.0108</v>
      </c>
      <c r="J258" s="57">
        <v>153.01339999999999</v>
      </c>
      <c r="K258" s="57">
        <v>226.09440000000001</v>
      </c>
      <c r="L258" s="75" t="s">
        <v>3423</v>
      </c>
      <c r="M258" s="75" t="s">
        <v>3423</v>
      </c>
    </row>
    <row r="259" spans="1:13" x14ac:dyDescent="0.2">
      <c r="A259" s="54">
        <v>258</v>
      </c>
      <c r="B259" s="57">
        <v>209</v>
      </c>
      <c r="C259" s="57" t="s">
        <v>2453</v>
      </c>
      <c r="D259" s="59" t="s">
        <v>2454</v>
      </c>
      <c r="E259" s="57" t="s">
        <v>2455</v>
      </c>
      <c r="F259" s="57">
        <v>181.97309999999999</v>
      </c>
      <c r="G259" s="57">
        <v>3.0709</v>
      </c>
      <c r="H259" s="57">
        <v>181.9725</v>
      </c>
      <c r="I259" s="57">
        <v>183.97049999999999</v>
      </c>
      <c r="J259" s="57">
        <v>182.97579999999999</v>
      </c>
      <c r="K259" s="57">
        <v>184.97399999999999</v>
      </c>
      <c r="L259" s="75" t="s">
        <v>3502</v>
      </c>
      <c r="M259" s="75" t="s">
        <v>3502</v>
      </c>
    </row>
    <row r="260" spans="1:13" x14ac:dyDescent="0.2">
      <c r="A260" s="54">
        <v>259</v>
      </c>
      <c r="B260" s="57">
        <v>210</v>
      </c>
      <c r="C260" s="57" t="s">
        <v>2434</v>
      </c>
      <c r="D260" s="59" t="s">
        <v>2435</v>
      </c>
      <c r="E260" s="57" t="s">
        <v>2436</v>
      </c>
      <c r="F260" s="57">
        <v>181.97309999999999</v>
      </c>
      <c r="G260" s="57">
        <v>3.0371999999999999</v>
      </c>
      <c r="H260" s="57">
        <v>181.9725</v>
      </c>
      <c r="I260" s="57">
        <v>183.97049999999999</v>
      </c>
      <c r="J260" s="57">
        <v>182.97579999999999</v>
      </c>
      <c r="K260" s="57">
        <v>184.97399999999999</v>
      </c>
      <c r="L260" s="75" t="s">
        <v>3502</v>
      </c>
      <c r="M260" s="75" t="s">
        <v>3502</v>
      </c>
    </row>
    <row r="261" spans="1:13" x14ac:dyDescent="0.2">
      <c r="A261" s="54">
        <v>260</v>
      </c>
      <c r="B261" s="57">
        <v>211</v>
      </c>
      <c r="C261" s="57" t="s">
        <v>2909</v>
      </c>
      <c r="D261" s="59" t="s">
        <v>1479</v>
      </c>
      <c r="E261" s="57" t="s">
        <v>459</v>
      </c>
      <c r="F261" s="57">
        <v>252.09389999999999</v>
      </c>
      <c r="G261" s="57">
        <v>16.709199999999999</v>
      </c>
      <c r="H261" s="57">
        <v>252.09370000000001</v>
      </c>
      <c r="I261" s="57">
        <v>250.07810000000001</v>
      </c>
      <c r="J261" s="57">
        <v>253.09690000000001</v>
      </c>
      <c r="K261" s="57">
        <v>126.0463</v>
      </c>
      <c r="L261" s="75" t="s">
        <v>458</v>
      </c>
      <c r="M261" s="75" t="s">
        <v>458</v>
      </c>
    </row>
    <row r="262" spans="1:13" x14ac:dyDescent="0.2">
      <c r="A262" s="54">
        <v>261</v>
      </c>
      <c r="B262" s="57" t="s">
        <v>1</v>
      </c>
      <c r="C262" s="57" t="s">
        <v>2305</v>
      </c>
      <c r="D262" s="59" t="s">
        <v>1</v>
      </c>
      <c r="E262" s="57" t="s">
        <v>1</v>
      </c>
      <c r="F262" s="57" t="s">
        <v>1</v>
      </c>
      <c r="G262" s="57">
        <v>17.715900000000001</v>
      </c>
      <c r="H262" s="57">
        <v>252.0942</v>
      </c>
      <c r="I262" s="57">
        <v>250.07859999999999</v>
      </c>
      <c r="J262" s="57">
        <v>253.09739999999999</v>
      </c>
      <c r="K262" s="57">
        <v>248.06290000000001</v>
      </c>
      <c r="L262" s="75">
        <v>0</v>
      </c>
      <c r="M262" s="75" t="s">
        <v>1</v>
      </c>
    </row>
    <row r="263" spans="1:13" x14ac:dyDescent="0.2">
      <c r="A263" s="54">
        <v>262</v>
      </c>
      <c r="B263" s="57">
        <v>212</v>
      </c>
      <c r="C263" s="57" t="s">
        <v>1693</v>
      </c>
      <c r="D263" s="59" t="s">
        <v>1694</v>
      </c>
      <c r="E263" s="57" t="s">
        <v>1695</v>
      </c>
      <c r="F263" s="57">
        <v>493.68849999999998</v>
      </c>
      <c r="G263" s="57">
        <v>17.5608</v>
      </c>
      <c r="H263" s="57">
        <v>497.68220000000002</v>
      </c>
      <c r="I263" s="57">
        <v>499.67899999999997</v>
      </c>
      <c r="J263" s="57">
        <v>495.68520000000001</v>
      </c>
      <c r="K263" s="57">
        <v>499.68020000000001</v>
      </c>
      <c r="L263" s="75" t="s">
        <v>3389</v>
      </c>
      <c r="M263" s="75" t="s">
        <v>3389</v>
      </c>
    </row>
    <row r="264" spans="1:13" x14ac:dyDescent="0.2">
      <c r="A264" s="54">
        <v>263</v>
      </c>
      <c r="B264" s="57">
        <v>213</v>
      </c>
      <c r="C264" s="57" t="s">
        <v>2310</v>
      </c>
      <c r="D264" s="59" t="s">
        <v>1087</v>
      </c>
      <c r="E264" s="57" t="s">
        <v>450</v>
      </c>
      <c r="F264" s="57">
        <v>202.07830000000001</v>
      </c>
      <c r="G264" s="57">
        <v>8.9436999999999998</v>
      </c>
      <c r="H264" s="57">
        <v>202.07759999999999</v>
      </c>
      <c r="I264" s="57">
        <v>200.0624</v>
      </c>
      <c r="J264" s="57">
        <v>203.0812</v>
      </c>
      <c r="K264" s="57">
        <v>101.03870000000001</v>
      </c>
      <c r="L264" s="75" t="s">
        <v>448</v>
      </c>
      <c r="M264" s="75" t="s">
        <v>448</v>
      </c>
    </row>
    <row r="265" spans="1:13" x14ac:dyDescent="0.2">
      <c r="A265" s="54">
        <v>264</v>
      </c>
      <c r="B265" s="57" t="s">
        <v>1</v>
      </c>
      <c r="C265" s="57" t="s">
        <v>2938</v>
      </c>
      <c r="D265" s="59" t="s">
        <v>1</v>
      </c>
      <c r="E265" s="57" t="s">
        <v>1</v>
      </c>
      <c r="F265" s="57" t="s">
        <v>1</v>
      </c>
      <c r="G265" s="57">
        <v>8.9183000000000003</v>
      </c>
      <c r="H265" s="57">
        <v>202.07759999999999</v>
      </c>
      <c r="I265" s="57">
        <v>200.06209999999999</v>
      </c>
      <c r="J265" s="57">
        <v>203.08090000000001</v>
      </c>
      <c r="K265" s="57">
        <v>201.06970000000001</v>
      </c>
      <c r="L265" s="75">
        <v>0</v>
      </c>
      <c r="M265" s="75" t="s">
        <v>1</v>
      </c>
    </row>
    <row r="266" spans="1:13" x14ac:dyDescent="0.2">
      <c r="A266" s="54">
        <v>265</v>
      </c>
      <c r="B266" s="57">
        <v>214</v>
      </c>
      <c r="C266" s="57" t="s">
        <v>2911</v>
      </c>
      <c r="D266" s="59" t="s">
        <v>1482</v>
      </c>
      <c r="E266" s="57" t="s">
        <v>461</v>
      </c>
      <c r="F266" s="57">
        <v>252.09389999999999</v>
      </c>
      <c r="G266" s="57">
        <v>17.505199999999999</v>
      </c>
      <c r="H266" s="57">
        <v>252.09370000000001</v>
      </c>
      <c r="I266" s="57">
        <v>250.07810000000001</v>
      </c>
      <c r="J266" s="57">
        <v>253.09690000000001</v>
      </c>
      <c r="K266" s="57">
        <v>126.0463</v>
      </c>
      <c r="L266" s="75" t="s">
        <v>458</v>
      </c>
      <c r="M266" s="75" t="s">
        <v>458</v>
      </c>
    </row>
    <row r="267" spans="1:13" x14ac:dyDescent="0.2">
      <c r="A267" s="54">
        <v>266</v>
      </c>
      <c r="B267" s="57" t="s">
        <v>1</v>
      </c>
      <c r="C267" s="57" t="s">
        <v>2307</v>
      </c>
      <c r="D267" s="59" t="s">
        <v>1</v>
      </c>
      <c r="E267" s="57" t="s">
        <v>1</v>
      </c>
      <c r="F267" s="57" t="s">
        <v>1</v>
      </c>
      <c r="G267" s="57">
        <v>17.907599999999999</v>
      </c>
      <c r="H267" s="57">
        <v>252.0942</v>
      </c>
      <c r="I267" s="57">
        <v>250.07859999999999</v>
      </c>
      <c r="J267" s="57">
        <v>253.09739999999999</v>
      </c>
      <c r="K267" s="57">
        <v>248.06290000000001</v>
      </c>
      <c r="L267" s="75">
        <v>0</v>
      </c>
      <c r="M267" s="75" t="s">
        <v>1</v>
      </c>
    </row>
    <row r="268" spans="1:13" x14ac:dyDescent="0.2">
      <c r="A268" s="54">
        <v>267</v>
      </c>
      <c r="B268" s="57">
        <v>215</v>
      </c>
      <c r="C268" s="57" t="s">
        <v>1719</v>
      </c>
      <c r="D268" s="59" t="s">
        <v>1720</v>
      </c>
      <c r="E268" s="57" t="s">
        <v>1721</v>
      </c>
      <c r="F268" s="57">
        <v>637.53599999999994</v>
      </c>
      <c r="G268" s="57">
        <v>18.194500000000001</v>
      </c>
      <c r="H268" s="57">
        <v>483.69499999999999</v>
      </c>
      <c r="I268" s="57">
        <v>481.69690000000003</v>
      </c>
      <c r="J268" s="57">
        <v>485.6927</v>
      </c>
      <c r="K268" s="57">
        <v>643.53229999999996</v>
      </c>
      <c r="L268" s="75" t="s">
        <v>3461</v>
      </c>
      <c r="M268" s="75" t="s">
        <v>3461</v>
      </c>
    </row>
    <row r="269" spans="1:13" x14ac:dyDescent="0.2">
      <c r="A269" s="54">
        <v>268</v>
      </c>
      <c r="B269" s="57">
        <v>216</v>
      </c>
      <c r="C269" s="57" t="s">
        <v>1722</v>
      </c>
      <c r="D269" s="59" t="s">
        <v>1723</v>
      </c>
      <c r="E269" s="57" t="s">
        <v>1724</v>
      </c>
      <c r="F269" s="57">
        <v>715.447</v>
      </c>
      <c r="G269" s="57">
        <v>20.122900000000001</v>
      </c>
      <c r="H269" s="57">
        <v>561.60640000000001</v>
      </c>
      <c r="I269" s="57">
        <v>563.60429999999997</v>
      </c>
      <c r="J269" s="57">
        <v>559.60850000000005</v>
      </c>
      <c r="K269" s="57">
        <v>565.60230000000001</v>
      </c>
      <c r="L269" s="75" t="s">
        <v>3485</v>
      </c>
      <c r="M269" s="75" t="s">
        <v>3485</v>
      </c>
    </row>
    <row r="270" spans="1:13" x14ac:dyDescent="0.2">
      <c r="A270" s="54">
        <v>269</v>
      </c>
      <c r="B270" s="57">
        <v>217</v>
      </c>
      <c r="C270" s="57" t="s">
        <v>2904</v>
      </c>
      <c r="D270" s="59" t="s">
        <v>1074</v>
      </c>
      <c r="E270" s="57" t="s">
        <v>464</v>
      </c>
      <c r="F270" s="57">
        <v>152.0626</v>
      </c>
      <c r="G270" s="57">
        <v>4.6837999999999997</v>
      </c>
      <c r="H270" s="57">
        <v>152.06200000000001</v>
      </c>
      <c r="I270" s="57">
        <v>150.04660000000001</v>
      </c>
      <c r="J270" s="57">
        <v>153.06540000000001</v>
      </c>
      <c r="K270" s="57">
        <v>149.03880000000001</v>
      </c>
      <c r="L270" s="75" t="s">
        <v>463</v>
      </c>
      <c r="M270" s="75" t="s">
        <v>463</v>
      </c>
    </row>
    <row r="271" spans="1:13" x14ac:dyDescent="0.2">
      <c r="A271" s="54">
        <v>270</v>
      </c>
      <c r="B271" s="57" t="s">
        <v>1</v>
      </c>
      <c r="C271" s="57" t="s">
        <v>2299</v>
      </c>
      <c r="D271" s="59" t="s">
        <v>1</v>
      </c>
      <c r="E271" s="57" t="s">
        <v>1</v>
      </c>
      <c r="F271" s="57" t="s">
        <v>1</v>
      </c>
      <c r="G271" s="57">
        <v>4.6877000000000004</v>
      </c>
      <c r="H271" s="57">
        <v>152.0616</v>
      </c>
      <c r="I271" s="57">
        <v>150.0461</v>
      </c>
      <c r="J271" s="57">
        <v>151.0539</v>
      </c>
      <c r="K271" s="57">
        <v>153.065</v>
      </c>
      <c r="L271" s="75">
        <v>0</v>
      </c>
      <c r="M271" s="75" t="s">
        <v>1</v>
      </c>
    </row>
    <row r="272" spans="1:13" x14ac:dyDescent="0.2">
      <c r="A272" s="54">
        <v>271</v>
      </c>
      <c r="B272" s="57" t="s">
        <v>1</v>
      </c>
      <c r="C272" s="57" t="s">
        <v>2300</v>
      </c>
      <c r="D272" s="59" t="s">
        <v>1</v>
      </c>
      <c r="E272" s="57" t="s">
        <v>1</v>
      </c>
      <c r="F272" s="57" t="s">
        <v>1</v>
      </c>
      <c r="G272" s="57">
        <v>4.8570000000000002</v>
      </c>
      <c r="H272" s="57">
        <v>152.0616</v>
      </c>
      <c r="I272" s="57">
        <v>150.0461</v>
      </c>
      <c r="J272" s="57">
        <v>151.0539</v>
      </c>
      <c r="K272" s="57">
        <v>153.065</v>
      </c>
      <c r="L272" s="75">
        <v>0</v>
      </c>
      <c r="M272" s="75" t="s">
        <v>1</v>
      </c>
    </row>
    <row r="273" spans="1:13" x14ac:dyDescent="0.2">
      <c r="A273" s="54">
        <v>272</v>
      </c>
      <c r="B273" s="57" t="s">
        <v>1</v>
      </c>
      <c r="C273" s="57" t="s">
        <v>2301</v>
      </c>
      <c r="D273" s="59" t="s">
        <v>1</v>
      </c>
      <c r="E273" s="57" t="s">
        <v>1</v>
      </c>
      <c r="F273" s="57" t="s">
        <v>1</v>
      </c>
      <c r="G273" s="57">
        <v>4.2906000000000004</v>
      </c>
      <c r="H273" s="57">
        <v>152.0616</v>
      </c>
      <c r="I273" s="57">
        <v>150.0461</v>
      </c>
      <c r="J273" s="57">
        <v>151.0539</v>
      </c>
      <c r="K273" s="57">
        <v>153.065</v>
      </c>
      <c r="L273" s="75">
        <v>0</v>
      </c>
      <c r="M273" s="75" t="s">
        <v>1</v>
      </c>
    </row>
    <row r="274" spans="1:13" x14ac:dyDescent="0.2">
      <c r="A274" s="54">
        <v>273</v>
      </c>
      <c r="B274" s="57">
        <v>218</v>
      </c>
      <c r="C274" s="57" t="s">
        <v>2701</v>
      </c>
      <c r="D274" s="59" t="s">
        <v>2702</v>
      </c>
      <c r="E274" s="57" t="s">
        <v>2703</v>
      </c>
      <c r="F274" s="57">
        <v>249.01929999999999</v>
      </c>
      <c r="G274" s="57">
        <v>8.7527000000000008</v>
      </c>
      <c r="H274" s="57">
        <v>249.0187</v>
      </c>
      <c r="I274" s="57">
        <v>251.01589999999999</v>
      </c>
      <c r="J274" s="57">
        <v>250.0222</v>
      </c>
      <c r="K274" s="57">
        <v>252.01920000000001</v>
      </c>
      <c r="L274" s="75" t="s">
        <v>3486</v>
      </c>
      <c r="M274" s="75" t="s">
        <v>3486</v>
      </c>
    </row>
    <row r="275" spans="1:13" x14ac:dyDescent="0.2">
      <c r="A275" s="54">
        <v>274</v>
      </c>
      <c r="B275" s="57">
        <v>219</v>
      </c>
      <c r="C275" s="57" t="s">
        <v>1977</v>
      </c>
      <c r="D275" s="59" t="s">
        <v>1978</v>
      </c>
      <c r="E275" s="57" t="s">
        <v>1979</v>
      </c>
      <c r="F275" s="57">
        <v>272.84739999999999</v>
      </c>
      <c r="G275" s="57">
        <v>6.3594999999999997</v>
      </c>
      <c r="H275" s="57">
        <v>272.84690000000001</v>
      </c>
      <c r="I275" s="57">
        <v>274.84440000000001</v>
      </c>
      <c r="J275" s="57">
        <v>276.84120000000001</v>
      </c>
      <c r="K275" s="57">
        <v>278.8383</v>
      </c>
      <c r="L275" s="75" t="s">
        <v>3469</v>
      </c>
      <c r="M275" s="75" t="s">
        <v>3469</v>
      </c>
    </row>
    <row r="276" spans="1:13" x14ac:dyDescent="0.2">
      <c r="A276" s="54">
        <v>275</v>
      </c>
      <c r="B276" s="57">
        <v>220</v>
      </c>
      <c r="C276" s="57" t="s">
        <v>2713</v>
      </c>
      <c r="D276" s="59" t="s">
        <v>1004</v>
      </c>
      <c r="E276" s="57" t="s">
        <v>570</v>
      </c>
      <c r="F276" s="57">
        <v>282.9803</v>
      </c>
      <c r="G276" s="57">
        <v>10.438800000000001</v>
      </c>
      <c r="H276" s="57">
        <v>282.97969999999998</v>
      </c>
      <c r="I276" s="57">
        <v>139.05449999999999</v>
      </c>
      <c r="J276" s="57">
        <v>204.01499999999999</v>
      </c>
      <c r="K276" s="57">
        <v>254.9796</v>
      </c>
      <c r="L276" s="75" t="s">
        <v>557</v>
      </c>
      <c r="M276" s="75" t="s">
        <v>557</v>
      </c>
    </row>
    <row r="277" spans="1:13" x14ac:dyDescent="0.2">
      <c r="A277" s="54">
        <v>276</v>
      </c>
      <c r="B277" s="57">
        <v>221</v>
      </c>
      <c r="C277" s="57" t="s">
        <v>1857</v>
      </c>
      <c r="D277" s="59" t="s">
        <v>1858</v>
      </c>
      <c r="E277" s="57" t="s">
        <v>1859</v>
      </c>
      <c r="F277" s="57">
        <v>323.03809999999999</v>
      </c>
      <c r="G277" s="57">
        <v>13.227600000000001</v>
      </c>
      <c r="H277" s="57">
        <v>323.03710000000001</v>
      </c>
      <c r="I277" s="57">
        <v>156.9871</v>
      </c>
      <c r="J277" s="57">
        <v>141.00989999999999</v>
      </c>
      <c r="K277" s="57">
        <v>159.0204</v>
      </c>
      <c r="L277" s="75" t="s">
        <v>3411</v>
      </c>
      <c r="M277" s="75" t="s">
        <v>3411</v>
      </c>
    </row>
    <row r="278" spans="1:13" x14ac:dyDescent="0.2">
      <c r="A278" s="54">
        <v>277</v>
      </c>
      <c r="B278" s="57">
        <v>222</v>
      </c>
      <c r="C278" s="57" t="s">
        <v>2152</v>
      </c>
      <c r="D278" s="59" t="s">
        <v>2153</v>
      </c>
      <c r="E278" s="57" t="s">
        <v>2154</v>
      </c>
      <c r="F278" s="57">
        <v>363.8492</v>
      </c>
      <c r="G278" s="57">
        <v>8.3750999999999998</v>
      </c>
      <c r="H278" s="57">
        <v>330.8775</v>
      </c>
      <c r="I278" s="57">
        <v>124.9821</v>
      </c>
      <c r="J278" s="57">
        <v>329.88299999999998</v>
      </c>
      <c r="K278" s="57">
        <v>328.87979999999999</v>
      </c>
      <c r="L278" s="75" t="s">
        <v>3498</v>
      </c>
      <c r="M278" s="75" t="s">
        <v>3498</v>
      </c>
    </row>
    <row r="279" spans="1:13" x14ac:dyDescent="0.2">
      <c r="A279" s="54">
        <v>278</v>
      </c>
      <c r="B279" s="57">
        <v>223</v>
      </c>
      <c r="C279" s="57" t="s">
        <v>2761</v>
      </c>
      <c r="D279" s="59" t="s">
        <v>2762</v>
      </c>
      <c r="E279" s="57" t="s">
        <v>801</v>
      </c>
      <c r="F279" s="57">
        <v>214.08879999999999</v>
      </c>
      <c r="G279" s="57">
        <v>13.459099999999999</v>
      </c>
      <c r="H279" s="57">
        <v>196.0882</v>
      </c>
      <c r="I279" s="57">
        <v>195.0804</v>
      </c>
      <c r="J279" s="57">
        <v>194.07249999999999</v>
      </c>
      <c r="K279" s="57">
        <v>198.06290000000001</v>
      </c>
      <c r="L279" s="75" t="s">
        <v>800</v>
      </c>
      <c r="M279" s="75" t="s">
        <v>800</v>
      </c>
    </row>
    <row r="280" spans="1:13" x14ac:dyDescent="0.2">
      <c r="A280" s="54">
        <v>279</v>
      </c>
      <c r="B280" s="57">
        <v>224</v>
      </c>
      <c r="C280" s="57" t="s">
        <v>2714</v>
      </c>
      <c r="D280" s="59" t="s">
        <v>2715</v>
      </c>
      <c r="E280" s="57" t="s">
        <v>558</v>
      </c>
      <c r="F280" s="57">
        <v>282.9803</v>
      </c>
      <c r="G280" s="57">
        <v>10.438800000000001</v>
      </c>
      <c r="H280" s="57">
        <v>282.97949999999997</v>
      </c>
      <c r="I280" s="57">
        <v>139.05449999999999</v>
      </c>
      <c r="J280" s="57">
        <v>204.01499999999999</v>
      </c>
      <c r="K280" s="57">
        <v>254.9796</v>
      </c>
      <c r="L280" s="75" t="s">
        <v>557</v>
      </c>
      <c r="M280" s="75" t="s">
        <v>557</v>
      </c>
    </row>
    <row r="281" spans="1:13" x14ac:dyDescent="0.2">
      <c r="A281" s="54">
        <v>280</v>
      </c>
      <c r="B281" s="57">
        <v>225</v>
      </c>
      <c r="C281" s="57" t="s">
        <v>2494</v>
      </c>
      <c r="D281" s="59" t="s">
        <v>3267</v>
      </c>
      <c r="E281" s="57" t="s">
        <v>521</v>
      </c>
      <c r="F281" s="57">
        <v>116.041</v>
      </c>
      <c r="G281" s="57">
        <v>9.0640999999999998</v>
      </c>
      <c r="H281" s="57">
        <v>116.0577</v>
      </c>
      <c r="I281" s="57">
        <v>113.0386</v>
      </c>
      <c r="J281" s="57">
        <v>117.0368</v>
      </c>
      <c r="K281" s="57">
        <v>101.03870000000001</v>
      </c>
      <c r="L281" s="75" t="s">
        <v>520</v>
      </c>
      <c r="M281" s="75" t="s">
        <v>520</v>
      </c>
    </row>
    <row r="282" spans="1:13" x14ac:dyDescent="0.2">
      <c r="A282" s="54">
        <v>281</v>
      </c>
      <c r="B282" s="57">
        <v>226</v>
      </c>
      <c r="C282" s="57" t="s">
        <v>2462</v>
      </c>
      <c r="D282" s="59" t="s">
        <v>947</v>
      </c>
      <c r="E282" s="57" t="s">
        <v>2463</v>
      </c>
      <c r="F282" s="57">
        <v>277.20420000000001</v>
      </c>
      <c r="G282" s="57">
        <v>11.0655</v>
      </c>
      <c r="H282" s="57">
        <v>277.20370000000003</v>
      </c>
      <c r="I282" s="57">
        <v>165.07830000000001</v>
      </c>
      <c r="J282" s="57">
        <v>164.07060000000001</v>
      </c>
      <c r="K282" s="57">
        <v>148.07570000000001</v>
      </c>
      <c r="L282" s="75" t="s">
        <v>56</v>
      </c>
      <c r="M282" s="75" t="s">
        <v>56</v>
      </c>
    </row>
    <row r="283" spans="1:13" x14ac:dyDescent="0.2">
      <c r="A283" s="54">
        <v>282</v>
      </c>
      <c r="B283" s="57">
        <v>227</v>
      </c>
      <c r="C283" s="57" t="s">
        <v>1930</v>
      </c>
      <c r="D283" s="59" t="s">
        <v>3309</v>
      </c>
      <c r="E283" s="57" t="s">
        <v>739</v>
      </c>
      <c r="F283" s="57">
        <v>308.03710000000001</v>
      </c>
      <c r="G283" s="57">
        <v>11.7258</v>
      </c>
      <c r="H283" s="57">
        <v>308.03649999999999</v>
      </c>
      <c r="I283" s="57">
        <v>238.09909999999999</v>
      </c>
      <c r="J283" s="57">
        <v>310.03390000000002</v>
      </c>
      <c r="K283" s="57">
        <v>311.03710000000001</v>
      </c>
      <c r="L283" s="75" t="s">
        <v>738</v>
      </c>
      <c r="M283" s="75" t="s">
        <v>738</v>
      </c>
    </row>
    <row r="284" spans="1:13" x14ac:dyDescent="0.2">
      <c r="A284" s="54">
        <v>283</v>
      </c>
      <c r="B284" s="57">
        <v>228</v>
      </c>
      <c r="C284" s="57" t="s">
        <v>2181</v>
      </c>
      <c r="D284" s="59" t="s">
        <v>2182</v>
      </c>
      <c r="E284" s="57" t="s">
        <v>2183</v>
      </c>
      <c r="F284" s="57">
        <v>409.86989999999997</v>
      </c>
      <c r="G284" s="57">
        <v>14.105700000000001</v>
      </c>
      <c r="H284" s="57">
        <v>171.0027</v>
      </c>
      <c r="I284" s="57">
        <v>376.89859999999999</v>
      </c>
      <c r="J284" s="57">
        <v>374.90089999999998</v>
      </c>
      <c r="K284" s="57">
        <v>378.89530000000002</v>
      </c>
      <c r="L284" s="75" t="s">
        <v>3396</v>
      </c>
      <c r="M284" s="75" t="s">
        <v>3396</v>
      </c>
    </row>
    <row r="285" spans="1:13" x14ac:dyDescent="0.2">
      <c r="A285" s="54">
        <v>284</v>
      </c>
      <c r="B285" s="57">
        <v>229</v>
      </c>
      <c r="C285" s="57" t="s">
        <v>2085</v>
      </c>
      <c r="D285" s="59" t="s">
        <v>2086</v>
      </c>
      <c r="E285" s="57" t="s">
        <v>798</v>
      </c>
      <c r="F285" s="57">
        <v>234.13679999999999</v>
      </c>
      <c r="G285" s="57">
        <v>5.6947000000000001</v>
      </c>
      <c r="H285" s="57">
        <v>152.99760000000001</v>
      </c>
      <c r="I285" s="57">
        <v>154.04179999999999</v>
      </c>
      <c r="J285" s="57">
        <v>155.04509999999999</v>
      </c>
      <c r="K285" s="57">
        <v>234.13849999999999</v>
      </c>
      <c r="L285" s="75" t="s">
        <v>797</v>
      </c>
      <c r="M285" s="75" t="s">
        <v>797</v>
      </c>
    </row>
    <row r="286" spans="1:13" x14ac:dyDescent="0.2">
      <c r="A286" s="54">
        <v>285</v>
      </c>
      <c r="B286" s="57">
        <v>230</v>
      </c>
      <c r="C286" s="57" t="s">
        <v>2925</v>
      </c>
      <c r="D286" s="59" t="s">
        <v>1083</v>
      </c>
      <c r="E286" s="57" t="s">
        <v>453</v>
      </c>
      <c r="F286" s="57">
        <v>228.09389999999999</v>
      </c>
      <c r="G286" s="57">
        <v>13.215999999999999</v>
      </c>
      <c r="H286" s="57">
        <v>228.09350000000001</v>
      </c>
      <c r="I286" s="57">
        <v>226.0779</v>
      </c>
      <c r="J286" s="57">
        <v>229.0968</v>
      </c>
      <c r="K286" s="57">
        <v>113.0385</v>
      </c>
      <c r="L286" s="75" t="s">
        <v>452</v>
      </c>
      <c r="M286" s="75" t="s">
        <v>452</v>
      </c>
    </row>
    <row r="287" spans="1:13" x14ac:dyDescent="0.2">
      <c r="A287" s="54">
        <v>286</v>
      </c>
      <c r="B287" s="57" t="s">
        <v>1</v>
      </c>
      <c r="C287" s="57" t="s">
        <v>2308</v>
      </c>
      <c r="D287" s="59" t="s">
        <v>1</v>
      </c>
      <c r="E287" s="57" t="s">
        <v>1</v>
      </c>
      <c r="F287" s="57" t="s">
        <v>1</v>
      </c>
      <c r="G287" s="57">
        <v>13.295</v>
      </c>
      <c r="H287" s="57">
        <v>228.09360000000001</v>
      </c>
      <c r="I287" s="57">
        <v>226.0778</v>
      </c>
      <c r="J287" s="57">
        <v>229.0967</v>
      </c>
      <c r="K287" s="57">
        <v>224.06219999999999</v>
      </c>
      <c r="L287" s="75">
        <v>0</v>
      </c>
      <c r="M287" s="75" t="s">
        <v>1</v>
      </c>
    </row>
    <row r="288" spans="1:13" x14ac:dyDescent="0.2">
      <c r="A288" s="54">
        <v>287</v>
      </c>
      <c r="B288" s="57">
        <v>231</v>
      </c>
      <c r="C288" s="57" t="s">
        <v>2415</v>
      </c>
      <c r="D288" s="59" t="s">
        <v>3268</v>
      </c>
      <c r="E288" s="57" t="s">
        <v>349</v>
      </c>
      <c r="F288" s="57">
        <v>935.49300000000005</v>
      </c>
      <c r="G288" s="57">
        <v>21.965299999999999</v>
      </c>
      <c r="H288" s="57">
        <v>647.42520000000002</v>
      </c>
      <c r="I288" s="57">
        <v>664.4547</v>
      </c>
      <c r="J288" s="57">
        <v>648.42939999999999</v>
      </c>
      <c r="K288" s="57">
        <v>649.43209999999999</v>
      </c>
      <c r="L288" s="75" t="s">
        <v>348</v>
      </c>
      <c r="M288" s="75" t="s">
        <v>348</v>
      </c>
    </row>
    <row r="289" spans="1:13" x14ac:dyDescent="0.2">
      <c r="A289" s="54">
        <v>288</v>
      </c>
      <c r="B289" s="57">
        <v>232</v>
      </c>
      <c r="C289" s="57" t="s">
        <v>2161</v>
      </c>
      <c r="D289" s="59" t="s">
        <v>2162</v>
      </c>
      <c r="E289" s="57" t="s">
        <v>693</v>
      </c>
      <c r="F289" s="57">
        <v>359.95769999999999</v>
      </c>
      <c r="G289" s="57">
        <v>11.1374</v>
      </c>
      <c r="H289" s="57">
        <v>359.95749999999998</v>
      </c>
      <c r="I289" s="57">
        <v>268.9264</v>
      </c>
      <c r="J289" s="57">
        <v>324.98910000000001</v>
      </c>
      <c r="K289" s="57">
        <v>270.92309999999998</v>
      </c>
      <c r="L289" s="75" t="s">
        <v>692</v>
      </c>
      <c r="M289" s="75" t="s">
        <v>692</v>
      </c>
    </row>
    <row r="290" spans="1:13" x14ac:dyDescent="0.2">
      <c r="A290" s="54">
        <v>289</v>
      </c>
      <c r="B290" s="57">
        <v>233</v>
      </c>
      <c r="C290" s="57" t="s">
        <v>3066</v>
      </c>
      <c r="D290" s="59" t="s">
        <v>3375</v>
      </c>
      <c r="E290" s="57" t="s">
        <v>40</v>
      </c>
      <c r="F290" s="57">
        <v>162.1157</v>
      </c>
      <c r="G290" s="57">
        <v>7.3406000000000002</v>
      </c>
      <c r="H290" s="57">
        <v>161.1198</v>
      </c>
      <c r="I290" s="57">
        <v>132.08080000000001</v>
      </c>
      <c r="J290" s="57">
        <v>106.0652</v>
      </c>
      <c r="K290" s="57">
        <v>117.0574</v>
      </c>
      <c r="L290" s="75" t="s">
        <v>39</v>
      </c>
      <c r="M290" s="75" t="s">
        <v>39</v>
      </c>
    </row>
    <row r="291" spans="1:13" x14ac:dyDescent="0.2">
      <c r="A291" s="54">
        <v>290</v>
      </c>
      <c r="B291" s="57">
        <v>234</v>
      </c>
      <c r="C291" s="57" t="s">
        <v>3045</v>
      </c>
      <c r="D291" s="59" t="s">
        <v>2768</v>
      </c>
      <c r="E291" s="57" t="s">
        <v>834</v>
      </c>
      <c r="F291" s="57">
        <v>187.10310000000001</v>
      </c>
      <c r="G291" s="57">
        <v>5.0965999999999996</v>
      </c>
      <c r="H291" s="57">
        <v>187.10230000000001</v>
      </c>
      <c r="I291" s="57">
        <v>126.0916</v>
      </c>
      <c r="J291" s="57">
        <v>98.096599999999995</v>
      </c>
      <c r="K291" s="57">
        <v>127.0949</v>
      </c>
      <c r="L291" s="75" t="s">
        <v>833</v>
      </c>
      <c r="M291" s="75" t="s">
        <v>833</v>
      </c>
    </row>
    <row r="292" spans="1:13" x14ac:dyDescent="0.2">
      <c r="A292" s="54">
        <v>291</v>
      </c>
      <c r="B292" s="57" t="s">
        <v>1</v>
      </c>
      <c r="C292" s="57" t="s">
        <v>2767</v>
      </c>
      <c r="D292" s="59" t="s">
        <v>1</v>
      </c>
      <c r="E292" s="57" t="s">
        <v>1</v>
      </c>
      <c r="F292" s="57" t="s">
        <v>1</v>
      </c>
      <c r="G292" s="57">
        <v>5.0949999999999998</v>
      </c>
      <c r="H292" s="57">
        <v>187.10239999999999</v>
      </c>
      <c r="I292" s="57">
        <v>126.0912</v>
      </c>
      <c r="J292" s="57">
        <v>98.096400000000003</v>
      </c>
      <c r="K292" s="57">
        <v>188.10579999999999</v>
      </c>
      <c r="L292" s="75">
        <v>0</v>
      </c>
      <c r="M292" s="75" t="s">
        <v>1</v>
      </c>
    </row>
    <row r="293" spans="1:13" x14ac:dyDescent="0.2">
      <c r="A293" s="54">
        <v>292</v>
      </c>
      <c r="B293" s="57">
        <v>235</v>
      </c>
      <c r="C293" s="57" t="s">
        <v>3063</v>
      </c>
      <c r="D293" s="59" t="s">
        <v>1196</v>
      </c>
      <c r="E293" s="57" t="s">
        <v>76</v>
      </c>
      <c r="F293" s="57">
        <v>156.1514</v>
      </c>
      <c r="G293" s="57">
        <v>4.5056000000000003</v>
      </c>
      <c r="H293" s="57">
        <v>157.14160000000001</v>
      </c>
      <c r="I293" s="57">
        <v>146.09979999999999</v>
      </c>
      <c r="J293" s="57">
        <v>188.1103</v>
      </c>
      <c r="K293" s="57">
        <v>155.10669999999999</v>
      </c>
      <c r="L293" s="75" t="s">
        <v>75</v>
      </c>
      <c r="M293" s="75" t="s">
        <v>75</v>
      </c>
    </row>
    <row r="294" spans="1:13" x14ac:dyDescent="0.2">
      <c r="A294" s="54">
        <v>293</v>
      </c>
      <c r="B294" s="57">
        <v>236</v>
      </c>
      <c r="C294" s="57" t="s">
        <v>2737</v>
      </c>
      <c r="D294" s="59" t="s">
        <v>2738</v>
      </c>
      <c r="E294" s="57" t="s">
        <v>2739</v>
      </c>
      <c r="F294" s="57">
        <v>365.05849999999998</v>
      </c>
      <c r="G294" s="57">
        <v>12.853400000000001</v>
      </c>
      <c r="H294" s="57">
        <v>365.0582</v>
      </c>
      <c r="I294" s="57">
        <v>295.0292</v>
      </c>
      <c r="J294" s="57">
        <v>292.02910000000003</v>
      </c>
      <c r="K294" s="57">
        <v>293.0326</v>
      </c>
      <c r="L294" s="75" t="s">
        <v>3496</v>
      </c>
      <c r="M294" s="75" t="s">
        <v>3496</v>
      </c>
    </row>
    <row r="295" spans="1:13" x14ac:dyDescent="0.2">
      <c r="A295" s="54">
        <v>294</v>
      </c>
      <c r="B295" s="57">
        <v>237</v>
      </c>
      <c r="C295" s="57" t="s">
        <v>2172</v>
      </c>
      <c r="D295" s="59" t="s">
        <v>2173</v>
      </c>
      <c r="E295" s="57" t="s">
        <v>687</v>
      </c>
      <c r="F295" s="57">
        <v>303.10579999999999</v>
      </c>
      <c r="G295" s="57">
        <v>9.8890999999999991</v>
      </c>
      <c r="H295" s="57">
        <v>303.10500000000002</v>
      </c>
      <c r="I295" s="57">
        <v>154.0445</v>
      </c>
      <c r="J295" s="57">
        <v>217.00839999999999</v>
      </c>
      <c r="K295" s="57">
        <v>260.05090000000001</v>
      </c>
      <c r="L295" s="75" t="s">
        <v>686</v>
      </c>
      <c r="M295" s="75" t="s">
        <v>686</v>
      </c>
    </row>
    <row r="296" spans="1:13" x14ac:dyDescent="0.2">
      <c r="A296" s="54">
        <v>295</v>
      </c>
      <c r="B296" s="57">
        <v>238</v>
      </c>
      <c r="C296" s="57" t="s">
        <v>2203</v>
      </c>
      <c r="D296" s="59" t="s">
        <v>3378</v>
      </c>
      <c r="E296" s="57" t="s">
        <v>2204</v>
      </c>
      <c r="F296" s="57">
        <v>363.89929999999998</v>
      </c>
      <c r="G296" s="57">
        <v>8.5030999999999999</v>
      </c>
      <c r="H296" s="57">
        <v>108.9421</v>
      </c>
      <c r="I296" s="57">
        <v>328.9033</v>
      </c>
      <c r="J296" s="57">
        <v>110.9903</v>
      </c>
      <c r="K296" s="57">
        <v>330.9006</v>
      </c>
      <c r="L296" s="75" t="s">
        <v>3515</v>
      </c>
      <c r="M296" s="75" t="s">
        <v>3515</v>
      </c>
    </row>
    <row r="297" spans="1:13" x14ac:dyDescent="0.2">
      <c r="A297" s="54">
        <v>296</v>
      </c>
      <c r="B297" s="57" t="s">
        <v>1</v>
      </c>
      <c r="C297" s="57" t="s">
        <v>3047</v>
      </c>
      <c r="D297" s="59" t="s">
        <v>1</v>
      </c>
      <c r="E297" s="57" t="s">
        <v>1</v>
      </c>
      <c r="F297" s="57" t="s">
        <v>1</v>
      </c>
      <c r="G297" s="57">
        <v>9.3798999999999992</v>
      </c>
      <c r="H297" s="57">
        <v>240.89580000000001</v>
      </c>
      <c r="I297" s="57">
        <v>238.899</v>
      </c>
      <c r="J297" s="57">
        <v>242.8931</v>
      </c>
      <c r="K297" s="57">
        <v>106.9451</v>
      </c>
      <c r="L297" s="75">
        <v>0</v>
      </c>
      <c r="M297" s="75" t="s">
        <v>1</v>
      </c>
    </row>
    <row r="298" spans="1:13" x14ac:dyDescent="0.2">
      <c r="A298" s="54">
        <v>297</v>
      </c>
      <c r="B298" s="57">
        <v>239</v>
      </c>
      <c r="C298" s="57" t="s">
        <v>3068</v>
      </c>
      <c r="D298" s="59" t="s">
        <v>1179</v>
      </c>
      <c r="E298" s="57" t="s">
        <v>79</v>
      </c>
      <c r="F298" s="57">
        <v>140.04730000000001</v>
      </c>
      <c r="G298" s="57">
        <v>4.4295</v>
      </c>
      <c r="H298" s="57">
        <v>140.04689999999999</v>
      </c>
      <c r="I298" s="57">
        <v>139.03890000000001</v>
      </c>
      <c r="J298" s="57">
        <v>138.09950000000001</v>
      </c>
      <c r="K298" s="57">
        <v>97.028499999999994</v>
      </c>
      <c r="L298" s="75">
        <v>0</v>
      </c>
      <c r="M298" s="75" t="s">
        <v>78</v>
      </c>
    </row>
    <row r="299" spans="1:13" x14ac:dyDescent="0.2">
      <c r="A299" s="54">
        <v>298</v>
      </c>
      <c r="B299" s="57">
        <v>240</v>
      </c>
      <c r="C299" s="57" t="s">
        <v>2731</v>
      </c>
      <c r="D299" s="59" t="s">
        <v>3589</v>
      </c>
      <c r="E299" s="57" t="s">
        <v>2732</v>
      </c>
      <c r="F299" s="57">
        <v>615.87210000000005</v>
      </c>
      <c r="G299" s="57">
        <v>10.599399999999999</v>
      </c>
      <c r="H299" s="57">
        <v>282.97969999999998</v>
      </c>
      <c r="I299" s="57">
        <v>252.98169999999999</v>
      </c>
      <c r="J299" s="57">
        <v>254.97880000000001</v>
      </c>
      <c r="K299" s="57">
        <v>284.97669999999999</v>
      </c>
      <c r="L299" s="75" t="s">
        <v>3613</v>
      </c>
      <c r="M299" s="76" t="s">
        <v>3428</v>
      </c>
    </row>
    <row r="300" spans="1:13" x14ac:dyDescent="0.2">
      <c r="A300" s="54">
        <v>299</v>
      </c>
      <c r="B300" s="57">
        <v>241</v>
      </c>
      <c r="C300" s="57" t="s">
        <v>2721</v>
      </c>
      <c r="D300" s="59" t="s">
        <v>2722</v>
      </c>
      <c r="E300" s="57" t="s">
        <v>2723</v>
      </c>
      <c r="F300" s="57">
        <v>282.9803</v>
      </c>
      <c r="G300" s="57">
        <v>11.230700000000001</v>
      </c>
      <c r="H300" s="57">
        <v>282.97919999999999</v>
      </c>
      <c r="I300" s="57">
        <v>252.98259999999999</v>
      </c>
      <c r="J300" s="57">
        <v>254.9796</v>
      </c>
      <c r="K300" s="57">
        <v>284.97770000000003</v>
      </c>
      <c r="L300" s="75" t="s">
        <v>557</v>
      </c>
      <c r="M300" s="75" t="s">
        <v>557</v>
      </c>
    </row>
    <row r="301" spans="1:13" x14ac:dyDescent="0.2">
      <c r="A301" s="54">
        <v>300</v>
      </c>
      <c r="B301" s="57">
        <v>242</v>
      </c>
      <c r="C301" s="57" t="s">
        <v>2003</v>
      </c>
      <c r="D301" s="59" t="s">
        <v>1242</v>
      </c>
      <c r="E301" s="57" t="s">
        <v>820</v>
      </c>
      <c r="F301" s="57">
        <v>269.04079999999999</v>
      </c>
      <c r="G301" s="57">
        <v>19.210699999999999</v>
      </c>
      <c r="H301" s="57">
        <v>207.03270000000001</v>
      </c>
      <c r="I301" s="57">
        <v>209.01230000000001</v>
      </c>
      <c r="J301" s="57">
        <v>208.03229999999999</v>
      </c>
      <c r="K301" s="57">
        <v>87.044200000000004</v>
      </c>
      <c r="L301" s="75" t="s">
        <v>819</v>
      </c>
      <c r="M301" s="75" t="s">
        <v>819</v>
      </c>
    </row>
    <row r="302" spans="1:13" x14ac:dyDescent="0.2">
      <c r="A302" s="54">
        <v>301</v>
      </c>
      <c r="B302" s="57" t="s">
        <v>1</v>
      </c>
      <c r="C302" s="57" t="s">
        <v>2004</v>
      </c>
      <c r="D302" s="59" t="s">
        <v>1</v>
      </c>
      <c r="E302" s="57" t="s">
        <v>1</v>
      </c>
      <c r="F302" s="57" t="s">
        <v>1</v>
      </c>
      <c r="G302" s="57">
        <v>19.307300000000001</v>
      </c>
      <c r="H302" s="57">
        <v>207.03270000000001</v>
      </c>
      <c r="I302" s="57">
        <v>209.01230000000001</v>
      </c>
      <c r="J302" s="57">
        <v>208.03229999999999</v>
      </c>
      <c r="K302" s="57">
        <v>87.044200000000004</v>
      </c>
      <c r="L302" s="75">
        <v>0</v>
      </c>
      <c r="M302" s="75" t="s">
        <v>1</v>
      </c>
    </row>
    <row r="303" spans="1:13" x14ac:dyDescent="0.2">
      <c r="A303" s="54">
        <v>302</v>
      </c>
      <c r="B303" s="57">
        <v>243</v>
      </c>
      <c r="C303" s="57" t="s">
        <v>2049</v>
      </c>
      <c r="D303" s="59" t="s">
        <v>2050</v>
      </c>
      <c r="E303" s="57" t="s">
        <v>826</v>
      </c>
      <c r="F303" s="57">
        <v>303.0018</v>
      </c>
      <c r="G303" s="57">
        <v>10.2918</v>
      </c>
      <c r="H303" s="57">
        <v>303.00259999999997</v>
      </c>
      <c r="I303" s="57">
        <v>300.00279999999998</v>
      </c>
      <c r="J303" s="57">
        <v>304.0154</v>
      </c>
      <c r="K303" s="57">
        <v>96.044200000000004</v>
      </c>
      <c r="L303" s="75" t="s">
        <v>825</v>
      </c>
      <c r="M303" s="75" t="s">
        <v>825</v>
      </c>
    </row>
    <row r="304" spans="1:13" x14ac:dyDescent="0.2">
      <c r="A304" s="54">
        <v>303</v>
      </c>
      <c r="B304" s="57">
        <v>244</v>
      </c>
      <c r="C304" s="57" t="s">
        <v>2704</v>
      </c>
      <c r="D304" s="59" t="s">
        <v>2705</v>
      </c>
      <c r="E304" s="57" t="s">
        <v>2706</v>
      </c>
      <c r="F304" s="57">
        <v>249.01929999999999</v>
      </c>
      <c r="G304" s="57">
        <v>8.9413999999999998</v>
      </c>
      <c r="H304" s="57">
        <v>249.0187</v>
      </c>
      <c r="I304" s="57">
        <v>251.01589999999999</v>
      </c>
      <c r="J304" s="57">
        <v>250.0222</v>
      </c>
      <c r="K304" s="57">
        <v>252.01920000000001</v>
      </c>
      <c r="L304" s="75" t="s">
        <v>3486</v>
      </c>
      <c r="M304" s="75" t="s">
        <v>3486</v>
      </c>
    </row>
    <row r="305" spans="1:13" x14ac:dyDescent="0.2">
      <c r="A305" s="54">
        <v>304</v>
      </c>
      <c r="B305" s="57">
        <v>245</v>
      </c>
      <c r="C305" s="57" t="s">
        <v>2530</v>
      </c>
      <c r="D305" s="59" t="s">
        <v>3269</v>
      </c>
      <c r="E305" s="57" t="s">
        <v>212</v>
      </c>
      <c r="F305" s="57">
        <v>194.05789999999999</v>
      </c>
      <c r="G305" s="57">
        <v>6.7614000000000001</v>
      </c>
      <c r="H305" s="57">
        <v>194.0574</v>
      </c>
      <c r="I305" s="57">
        <v>149.05969999999999</v>
      </c>
      <c r="J305" s="57">
        <v>105.0449</v>
      </c>
      <c r="K305" s="57">
        <v>150.06309999999999</v>
      </c>
      <c r="L305" s="75" t="s">
        <v>211</v>
      </c>
      <c r="M305" s="75" t="s">
        <v>211</v>
      </c>
    </row>
    <row r="306" spans="1:13" x14ac:dyDescent="0.2">
      <c r="A306" s="54">
        <v>305</v>
      </c>
      <c r="B306" s="57">
        <v>246</v>
      </c>
      <c r="C306" s="57" t="s">
        <v>1866</v>
      </c>
      <c r="D306" s="59" t="s">
        <v>1867</v>
      </c>
      <c r="E306" s="57" t="s">
        <v>1868</v>
      </c>
      <c r="F306" s="57">
        <v>366.98680000000002</v>
      </c>
      <c r="G306" s="57">
        <v>14.1304</v>
      </c>
      <c r="H306" s="57">
        <v>366.9864</v>
      </c>
      <c r="I306" s="57">
        <v>182.0001</v>
      </c>
      <c r="J306" s="57">
        <v>183.99719999999999</v>
      </c>
      <c r="K306" s="57">
        <v>121.0411</v>
      </c>
      <c r="L306" s="75" t="s">
        <v>3426</v>
      </c>
      <c r="M306" s="75" t="s">
        <v>3426</v>
      </c>
    </row>
    <row r="307" spans="1:13" x14ac:dyDescent="0.2">
      <c r="A307" s="54">
        <v>306</v>
      </c>
      <c r="B307" s="57">
        <v>247</v>
      </c>
      <c r="C307" s="57" t="s">
        <v>2098</v>
      </c>
      <c r="D307" s="59" t="s">
        <v>2099</v>
      </c>
      <c r="E307" s="57" t="s">
        <v>2100</v>
      </c>
      <c r="F307" s="57">
        <v>350.15519999999998</v>
      </c>
      <c r="G307" s="57">
        <v>12.456799999999999</v>
      </c>
      <c r="H307" s="57">
        <v>350.15429999999998</v>
      </c>
      <c r="I307" s="57">
        <v>201.05770000000001</v>
      </c>
      <c r="J307" s="57">
        <v>351.15780000000001</v>
      </c>
      <c r="K307" s="57">
        <v>335.13099999999997</v>
      </c>
      <c r="L307" s="75" t="s">
        <v>3531</v>
      </c>
      <c r="M307" s="75" t="s">
        <v>3531</v>
      </c>
    </row>
    <row r="308" spans="1:13" x14ac:dyDescent="0.2">
      <c r="A308" s="54">
        <v>307</v>
      </c>
      <c r="B308" s="57">
        <v>248</v>
      </c>
      <c r="C308" s="57" t="s">
        <v>2799</v>
      </c>
      <c r="D308" s="59" t="s">
        <v>2800</v>
      </c>
      <c r="E308" s="57" t="s">
        <v>777</v>
      </c>
      <c r="F308" s="57">
        <v>219.06780000000001</v>
      </c>
      <c r="G308" s="57">
        <v>14.9695</v>
      </c>
      <c r="H308" s="57">
        <v>219.06780000000001</v>
      </c>
      <c r="I308" s="57">
        <v>181.06479999999999</v>
      </c>
      <c r="J308" s="57">
        <v>210.04570000000001</v>
      </c>
      <c r="K308" s="57">
        <v>220.07579999999999</v>
      </c>
      <c r="L308" s="75" t="s">
        <v>776</v>
      </c>
      <c r="M308" s="75" t="s">
        <v>776</v>
      </c>
    </row>
    <row r="309" spans="1:13" x14ac:dyDescent="0.2">
      <c r="A309" s="54">
        <v>308</v>
      </c>
      <c r="B309" s="57">
        <v>249</v>
      </c>
      <c r="C309" s="57" t="s">
        <v>1871</v>
      </c>
      <c r="D309" s="59" t="s">
        <v>1872</v>
      </c>
      <c r="E309" s="57" t="s">
        <v>697</v>
      </c>
      <c r="F309" s="57">
        <v>333.12759999999997</v>
      </c>
      <c r="G309" s="57">
        <v>8.4267000000000003</v>
      </c>
      <c r="H309" s="57">
        <v>333.12700000000001</v>
      </c>
      <c r="I309" s="57">
        <v>168.05889999999999</v>
      </c>
      <c r="J309" s="57">
        <v>318.10410000000002</v>
      </c>
      <c r="K309" s="57">
        <v>180.1131</v>
      </c>
      <c r="L309" s="75" t="s">
        <v>696</v>
      </c>
      <c r="M309" s="75" t="s">
        <v>696</v>
      </c>
    </row>
    <row r="310" spans="1:13" x14ac:dyDescent="0.2">
      <c r="A310" s="54">
        <v>309</v>
      </c>
      <c r="B310" s="57">
        <v>250</v>
      </c>
      <c r="C310" s="57" t="s">
        <v>3128</v>
      </c>
      <c r="D310" s="59" t="s">
        <v>953</v>
      </c>
      <c r="E310" s="57" t="s">
        <v>274</v>
      </c>
      <c r="F310" s="57">
        <v>570.97460000000001</v>
      </c>
      <c r="G310" s="57">
        <v>19.256900000000002</v>
      </c>
      <c r="H310" s="57">
        <v>179.1431</v>
      </c>
      <c r="I310" s="57">
        <v>181.101</v>
      </c>
      <c r="J310" s="57">
        <v>131.0856</v>
      </c>
      <c r="K310" s="57">
        <v>180.18279999999999</v>
      </c>
      <c r="L310" s="75" t="s">
        <v>273</v>
      </c>
      <c r="M310" s="75" t="s">
        <v>273</v>
      </c>
    </row>
    <row r="311" spans="1:13" x14ac:dyDescent="0.2">
      <c r="A311" s="54">
        <v>310</v>
      </c>
      <c r="B311" s="57">
        <v>251</v>
      </c>
      <c r="C311" s="57" t="s">
        <v>1781</v>
      </c>
      <c r="D311" s="59" t="s">
        <v>1782</v>
      </c>
      <c r="E311" s="57" t="s">
        <v>1783</v>
      </c>
      <c r="F311" s="57">
        <v>539.62620000000004</v>
      </c>
      <c r="G311" s="57">
        <v>14.302899999999999</v>
      </c>
      <c r="H311" s="57">
        <v>272.73820000000001</v>
      </c>
      <c r="I311" s="57">
        <v>273.8</v>
      </c>
      <c r="J311" s="57">
        <v>274.92930000000001</v>
      </c>
      <c r="K311" s="57">
        <v>269.81270000000001</v>
      </c>
      <c r="L311" s="75" t="s">
        <v>3390</v>
      </c>
      <c r="M311" s="75" t="s">
        <v>3390</v>
      </c>
    </row>
    <row r="312" spans="1:13" x14ac:dyDescent="0.2">
      <c r="A312" s="54">
        <v>311</v>
      </c>
      <c r="B312" s="57" t="s">
        <v>1</v>
      </c>
      <c r="C312" s="57" t="s">
        <v>1932</v>
      </c>
      <c r="D312" s="59" t="s">
        <v>1</v>
      </c>
      <c r="E312" s="57" t="s">
        <v>1</v>
      </c>
      <c r="F312" s="57" t="s">
        <v>1</v>
      </c>
      <c r="G312" s="57">
        <v>14.4076</v>
      </c>
      <c r="H312" s="57">
        <v>271.81</v>
      </c>
      <c r="I312" s="57">
        <v>269.81290000000001</v>
      </c>
      <c r="J312" s="57">
        <v>273.80700000000002</v>
      </c>
      <c r="K312" s="57">
        <v>275.80399999999997</v>
      </c>
      <c r="L312" s="75">
        <v>0</v>
      </c>
      <c r="M312" s="75" t="s">
        <v>1</v>
      </c>
    </row>
    <row r="313" spans="1:13" x14ac:dyDescent="0.2">
      <c r="A313" s="54">
        <v>312</v>
      </c>
      <c r="B313" s="57">
        <v>252</v>
      </c>
      <c r="C313" s="57" t="s">
        <v>2867</v>
      </c>
      <c r="D313" s="59" t="s">
        <v>2868</v>
      </c>
      <c r="E313" s="57" t="s">
        <v>905</v>
      </c>
      <c r="F313" s="57">
        <v>255.02180000000001</v>
      </c>
      <c r="G313" s="57">
        <v>6.4776999999999996</v>
      </c>
      <c r="H313" s="57">
        <v>255.0224</v>
      </c>
      <c r="I313" s="57">
        <v>172.95580000000001</v>
      </c>
      <c r="J313" s="57">
        <v>174.9639</v>
      </c>
      <c r="K313" s="57">
        <v>239.99789999999999</v>
      </c>
      <c r="L313" s="75" t="s">
        <v>904</v>
      </c>
      <c r="M313" s="75" t="s">
        <v>904</v>
      </c>
    </row>
    <row r="314" spans="1:13" x14ac:dyDescent="0.2">
      <c r="A314" s="54">
        <v>313</v>
      </c>
      <c r="B314" s="57" t="s">
        <v>1</v>
      </c>
      <c r="C314" s="57" t="s">
        <v>3046</v>
      </c>
      <c r="D314" s="59" t="s">
        <v>1</v>
      </c>
      <c r="E314" s="57" t="s">
        <v>1</v>
      </c>
      <c r="F314" s="57" t="s">
        <v>1</v>
      </c>
      <c r="G314" s="57">
        <v>6.492</v>
      </c>
      <c r="H314" s="57">
        <v>255.0224</v>
      </c>
      <c r="I314" s="57">
        <v>254.01339999999999</v>
      </c>
      <c r="J314" s="57">
        <v>256.01049999999998</v>
      </c>
      <c r="K314" s="57">
        <v>257.01799999999997</v>
      </c>
      <c r="L314" s="75">
        <v>0</v>
      </c>
      <c r="M314" s="75" t="s">
        <v>1</v>
      </c>
    </row>
    <row r="315" spans="1:13" x14ac:dyDescent="0.2">
      <c r="A315" s="54">
        <v>314</v>
      </c>
      <c r="B315" s="57">
        <v>253</v>
      </c>
      <c r="C315" s="57" t="s">
        <v>2221</v>
      </c>
      <c r="D315" s="59" t="s">
        <v>2222</v>
      </c>
      <c r="E315" s="57" t="s">
        <v>689</v>
      </c>
      <c r="F315" s="57">
        <v>313.065</v>
      </c>
      <c r="G315" s="57">
        <v>11.719099999999999</v>
      </c>
      <c r="H315" s="57">
        <v>313.06259999999997</v>
      </c>
      <c r="I315" s="57">
        <v>161.03890000000001</v>
      </c>
      <c r="J315" s="57">
        <v>162.04640000000001</v>
      </c>
      <c r="K315" s="57">
        <v>163.05420000000001</v>
      </c>
      <c r="L315" s="75" t="s">
        <v>688</v>
      </c>
      <c r="M315" s="75" t="s">
        <v>688</v>
      </c>
    </row>
    <row r="316" spans="1:13" x14ac:dyDescent="0.2">
      <c r="A316" s="54">
        <v>315</v>
      </c>
      <c r="B316" s="57">
        <v>254</v>
      </c>
      <c r="C316" s="57" t="s">
        <v>2055</v>
      </c>
      <c r="D316" s="59" t="s">
        <v>2056</v>
      </c>
      <c r="E316" s="57" t="s">
        <v>3231</v>
      </c>
      <c r="F316" s="57">
        <v>346.91079999999999</v>
      </c>
      <c r="G316" s="57">
        <v>10.488200000000001</v>
      </c>
      <c r="H316" s="57">
        <v>347.92720000000003</v>
      </c>
      <c r="I316" s="57">
        <v>348.8922</v>
      </c>
      <c r="J316" s="57">
        <v>344.8981</v>
      </c>
      <c r="K316" s="57">
        <v>346.90780000000001</v>
      </c>
      <c r="L316" s="75" t="s">
        <v>3536</v>
      </c>
      <c r="M316" s="75" t="s">
        <v>3536</v>
      </c>
    </row>
    <row r="317" spans="1:13" x14ac:dyDescent="0.2">
      <c r="A317" s="54">
        <v>316</v>
      </c>
      <c r="B317" s="57">
        <v>255</v>
      </c>
      <c r="C317" s="57" t="s">
        <v>2333</v>
      </c>
      <c r="D317" s="59" t="s">
        <v>3162</v>
      </c>
      <c r="E317" s="57" t="s">
        <v>8</v>
      </c>
      <c r="F317" s="57">
        <v>113.0609</v>
      </c>
      <c r="G317" s="57">
        <v>6.2930999999999999</v>
      </c>
      <c r="H317" s="57">
        <v>119.0856</v>
      </c>
      <c r="I317" s="57">
        <v>105.0699</v>
      </c>
      <c r="J317" s="57">
        <v>133.10120000000001</v>
      </c>
      <c r="K317" s="57">
        <v>109.10120000000001</v>
      </c>
      <c r="L317" s="75" t="s">
        <v>3594</v>
      </c>
      <c r="M317" s="73" t="s">
        <v>3615</v>
      </c>
    </row>
    <row r="318" spans="1:13" x14ac:dyDescent="0.2">
      <c r="A318" s="54">
        <v>317</v>
      </c>
      <c r="B318" s="57">
        <v>256</v>
      </c>
      <c r="C318" s="57" t="s">
        <v>2364</v>
      </c>
      <c r="D318" s="59" t="s">
        <v>2365</v>
      </c>
      <c r="E318" s="57" t="s">
        <v>784</v>
      </c>
      <c r="F318" s="57">
        <v>240.05690000000001</v>
      </c>
      <c r="G318" s="57">
        <v>16.939399999999999</v>
      </c>
      <c r="H318" s="57">
        <v>240.05690000000001</v>
      </c>
      <c r="I318" s="57">
        <v>224.06209999999999</v>
      </c>
      <c r="J318" s="57">
        <v>225.0652</v>
      </c>
      <c r="K318" s="57">
        <v>198.04640000000001</v>
      </c>
      <c r="L318" s="75" t="s">
        <v>783</v>
      </c>
      <c r="M318" s="75" t="s">
        <v>783</v>
      </c>
    </row>
    <row r="319" spans="1:13" x14ac:dyDescent="0.2">
      <c r="A319" s="54">
        <v>318</v>
      </c>
      <c r="B319" s="57" t="s">
        <v>1</v>
      </c>
      <c r="C319" s="57" t="s">
        <v>2366</v>
      </c>
      <c r="D319" s="59" t="s">
        <v>1</v>
      </c>
      <c r="E319" s="57" t="s">
        <v>1</v>
      </c>
      <c r="F319" s="57" t="s">
        <v>1</v>
      </c>
      <c r="G319" s="57">
        <v>13.304</v>
      </c>
      <c r="H319" s="57">
        <v>240.05690000000001</v>
      </c>
      <c r="I319" s="57">
        <v>224.06209999999999</v>
      </c>
      <c r="J319" s="57">
        <v>225.0652</v>
      </c>
      <c r="K319" s="57">
        <v>198.04640000000001</v>
      </c>
      <c r="L319" s="75">
        <v>0</v>
      </c>
      <c r="M319" s="75" t="s">
        <v>1</v>
      </c>
    </row>
    <row r="320" spans="1:13" x14ac:dyDescent="0.2">
      <c r="A320" s="54">
        <v>319</v>
      </c>
      <c r="B320" s="57">
        <v>257</v>
      </c>
      <c r="C320" s="57" t="s">
        <v>2276</v>
      </c>
      <c r="D320" s="59" t="s">
        <v>3232</v>
      </c>
      <c r="E320" s="57" t="s">
        <v>2277</v>
      </c>
      <c r="F320" s="57">
        <v>195.92500000000001</v>
      </c>
      <c r="G320" s="57">
        <v>12.450100000000001</v>
      </c>
      <c r="H320" s="57">
        <v>195.9246</v>
      </c>
      <c r="I320" s="57">
        <v>197.92150000000001</v>
      </c>
      <c r="J320" s="57">
        <v>96.983999999999995</v>
      </c>
      <c r="K320" s="57">
        <v>131.953</v>
      </c>
      <c r="L320" s="75" t="s">
        <v>3432</v>
      </c>
      <c r="M320" s="75" t="s">
        <v>3432</v>
      </c>
    </row>
    <row r="321" spans="1:13" x14ac:dyDescent="0.2">
      <c r="A321" s="54">
        <v>320</v>
      </c>
      <c r="B321" s="57">
        <v>258</v>
      </c>
      <c r="C321" s="57" t="s">
        <v>2527</v>
      </c>
      <c r="D321" s="59" t="s">
        <v>3310</v>
      </c>
      <c r="E321" s="57" t="s">
        <v>222</v>
      </c>
      <c r="F321" s="57">
        <v>256.07350000000002</v>
      </c>
      <c r="G321" s="57">
        <v>7.7080000000000002</v>
      </c>
      <c r="H321" s="57">
        <v>91.054299999999998</v>
      </c>
      <c r="I321" s="57">
        <v>109.06480000000001</v>
      </c>
      <c r="J321" s="57">
        <v>95.049199999999999</v>
      </c>
      <c r="K321" s="57">
        <v>93.069900000000004</v>
      </c>
      <c r="L321" s="75" t="s">
        <v>221</v>
      </c>
      <c r="M321" s="75" t="s">
        <v>221</v>
      </c>
    </row>
    <row r="322" spans="1:13" x14ac:dyDescent="0.2">
      <c r="A322" s="54">
        <v>321</v>
      </c>
      <c r="B322" s="57">
        <v>259</v>
      </c>
      <c r="C322" s="57" t="s">
        <v>2485</v>
      </c>
      <c r="D322" s="59" t="s">
        <v>3164</v>
      </c>
      <c r="E322" s="57" t="s">
        <v>251</v>
      </c>
      <c r="F322" s="57">
        <v>308.21159999999998</v>
      </c>
      <c r="G322" s="57">
        <v>19.251200000000001</v>
      </c>
      <c r="H322" s="57">
        <v>98.104699999999994</v>
      </c>
      <c r="I322" s="57">
        <v>169.10120000000001</v>
      </c>
      <c r="J322" s="57">
        <v>239.17939999999999</v>
      </c>
      <c r="K322" s="57">
        <v>97.101399999999998</v>
      </c>
      <c r="L322" s="75" t="s">
        <v>250</v>
      </c>
      <c r="M322" s="75" t="s">
        <v>250</v>
      </c>
    </row>
    <row r="323" spans="1:13" x14ac:dyDescent="0.2">
      <c r="A323" s="54">
        <v>322</v>
      </c>
      <c r="B323" s="57">
        <v>260</v>
      </c>
      <c r="C323" s="57" t="s">
        <v>2432</v>
      </c>
      <c r="D323" s="59" t="s">
        <v>928</v>
      </c>
      <c r="E323" s="57" t="s">
        <v>345</v>
      </c>
      <c r="F323" s="57">
        <v>619.82000000000005</v>
      </c>
      <c r="G323" s="57">
        <v>8.7482000000000006</v>
      </c>
      <c r="H323" s="57">
        <v>158.97630000000001</v>
      </c>
      <c r="I323" s="57">
        <v>139.05420000000001</v>
      </c>
      <c r="J323" s="57">
        <v>338.82679999999999</v>
      </c>
      <c r="K323" s="57">
        <v>619.82429999999999</v>
      </c>
      <c r="L323" s="75" t="s">
        <v>344</v>
      </c>
      <c r="M323" s="75" t="s">
        <v>344</v>
      </c>
    </row>
    <row r="324" spans="1:13" x14ac:dyDescent="0.2">
      <c r="A324" s="54">
        <v>323</v>
      </c>
      <c r="B324" s="57">
        <v>261</v>
      </c>
      <c r="C324" s="57" t="s">
        <v>2064</v>
      </c>
      <c r="D324" s="59" t="s">
        <v>2065</v>
      </c>
      <c r="E324" s="57" t="s">
        <v>2066</v>
      </c>
      <c r="F324" s="57">
        <v>245.9188</v>
      </c>
      <c r="G324" s="57">
        <v>4.3623799999999999</v>
      </c>
      <c r="H324" s="57">
        <v>245.91849999999999</v>
      </c>
      <c r="I324" s="57">
        <v>182.91749999999999</v>
      </c>
      <c r="J324" s="57">
        <v>210.94880000000001</v>
      </c>
      <c r="K324" s="57">
        <v>184.9145</v>
      </c>
      <c r="L324" s="75" t="s">
        <v>3419</v>
      </c>
      <c r="M324" s="75" t="s">
        <v>3419</v>
      </c>
    </row>
    <row r="325" spans="1:13" x14ac:dyDescent="0.2">
      <c r="A325" s="54">
        <v>324</v>
      </c>
      <c r="B325" s="57">
        <v>262</v>
      </c>
      <c r="C325" s="57" t="s">
        <v>3101</v>
      </c>
      <c r="D325" s="59" t="s">
        <v>3311</v>
      </c>
      <c r="E325" s="57" t="s">
        <v>650</v>
      </c>
      <c r="F325" s="57">
        <v>350.18819999999999</v>
      </c>
      <c r="G325" s="57">
        <v>17.8416</v>
      </c>
      <c r="H325" s="57">
        <v>123.1169</v>
      </c>
      <c r="I325" s="57">
        <v>129.07</v>
      </c>
      <c r="J325" s="57">
        <v>185.13249999999999</v>
      </c>
      <c r="K325" s="57">
        <v>187.1481</v>
      </c>
      <c r="L325" s="75" t="s">
        <v>649</v>
      </c>
      <c r="M325" s="75" t="s">
        <v>649</v>
      </c>
    </row>
    <row r="326" spans="1:13" x14ac:dyDescent="0.2">
      <c r="A326" s="54">
        <v>325</v>
      </c>
      <c r="B326" s="57" t="s">
        <v>1</v>
      </c>
      <c r="C326" s="57" t="s">
        <v>3102</v>
      </c>
      <c r="D326" s="59" t="s">
        <v>1</v>
      </c>
      <c r="E326" s="57" t="s">
        <v>1</v>
      </c>
      <c r="F326" s="57" t="s">
        <v>1</v>
      </c>
      <c r="G326" s="57">
        <v>17.5488</v>
      </c>
      <c r="H326" s="57">
        <v>123.1169</v>
      </c>
      <c r="I326" s="57">
        <v>129.07</v>
      </c>
      <c r="J326" s="57">
        <v>185.13249999999999</v>
      </c>
      <c r="K326" s="57">
        <v>187.1481</v>
      </c>
      <c r="L326" s="75">
        <v>0</v>
      </c>
      <c r="M326" s="75" t="s">
        <v>1</v>
      </c>
    </row>
    <row r="327" spans="1:13" x14ac:dyDescent="0.2">
      <c r="A327" s="54">
        <v>326</v>
      </c>
      <c r="B327" s="57">
        <v>263</v>
      </c>
      <c r="C327" s="57" t="s">
        <v>1983</v>
      </c>
      <c r="D327" s="59" t="s">
        <v>1984</v>
      </c>
      <c r="E327" s="57" t="s">
        <v>1985</v>
      </c>
      <c r="F327" s="57">
        <v>347.10930000000002</v>
      </c>
      <c r="G327" s="57">
        <v>6.3483000000000001</v>
      </c>
      <c r="H327" s="57">
        <v>347.10849999999999</v>
      </c>
      <c r="I327" s="57">
        <v>318.06959999999998</v>
      </c>
      <c r="J327" s="57">
        <v>330.10610000000003</v>
      </c>
      <c r="K327" s="57">
        <v>264.02269999999999</v>
      </c>
      <c r="L327" s="75" t="s">
        <v>3452</v>
      </c>
      <c r="M327" s="75" t="s">
        <v>3452</v>
      </c>
    </row>
    <row r="328" spans="1:13" x14ac:dyDescent="0.2">
      <c r="A328" s="54">
        <v>327</v>
      </c>
      <c r="B328" s="57">
        <v>264</v>
      </c>
      <c r="C328" s="57" t="s">
        <v>1846</v>
      </c>
      <c r="D328" s="59" t="s">
        <v>3312</v>
      </c>
      <c r="E328" s="57" t="s">
        <v>707</v>
      </c>
      <c r="F328" s="57">
        <v>345.03710000000001</v>
      </c>
      <c r="G328" s="57">
        <v>15.105600000000001</v>
      </c>
      <c r="H328" s="57">
        <v>132.0445</v>
      </c>
      <c r="I328" s="57">
        <v>104.04949999999999</v>
      </c>
      <c r="J328" s="57">
        <v>137.00559999999999</v>
      </c>
      <c r="K328" s="57">
        <v>133.04769999999999</v>
      </c>
      <c r="L328" s="75" t="s">
        <v>706</v>
      </c>
      <c r="M328" s="75" t="s">
        <v>706</v>
      </c>
    </row>
    <row r="329" spans="1:13" x14ac:dyDescent="0.2">
      <c r="A329" s="54">
        <v>328</v>
      </c>
      <c r="B329" s="57">
        <v>265</v>
      </c>
      <c r="C329" s="57" t="s">
        <v>1894</v>
      </c>
      <c r="D329" s="59" t="s">
        <v>1895</v>
      </c>
      <c r="E329" s="57" t="s">
        <v>1896</v>
      </c>
      <c r="F329" s="57">
        <v>205.99010000000001</v>
      </c>
      <c r="G329" s="57">
        <v>4.9176000000000002</v>
      </c>
      <c r="H329" s="57">
        <v>205.9897</v>
      </c>
      <c r="I329" s="57">
        <v>190.96619999999999</v>
      </c>
      <c r="J329" s="57">
        <v>192.9632</v>
      </c>
      <c r="K329" s="57">
        <v>207.98670000000001</v>
      </c>
      <c r="L329" s="75" t="s">
        <v>3507</v>
      </c>
      <c r="M329" s="75" t="s">
        <v>3507</v>
      </c>
    </row>
    <row r="330" spans="1:13" x14ac:dyDescent="0.2">
      <c r="A330" s="54">
        <v>329</v>
      </c>
      <c r="B330" s="57">
        <v>266</v>
      </c>
      <c r="C330" s="57" t="s">
        <v>1579</v>
      </c>
      <c r="D330" s="59" t="s">
        <v>3233</v>
      </c>
      <c r="E330" s="57" t="s">
        <v>1580</v>
      </c>
      <c r="F330" s="57">
        <v>419.77699999999999</v>
      </c>
      <c r="G330" s="57">
        <v>17.792999999999999</v>
      </c>
      <c r="H330" s="57">
        <v>114.8006</v>
      </c>
      <c r="I330" s="57">
        <v>184.85900000000001</v>
      </c>
      <c r="J330" s="57">
        <v>186.63460000000001</v>
      </c>
      <c r="K330" s="57">
        <v>338.86349999999999</v>
      </c>
      <c r="L330" s="75" t="s">
        <v>3505</v>
      </c>
      <c r="M330" s="75" t="s">
        <v>3505</v>
      </c>
    </row>
    <row r="331" spans="1:13" x14ac:dyDescent="0.2">
      <c r="A331" s="54">
        <v>330</v>
      </c>
      <c r="B331" s="57">
        <v>267</v>
      </c>
      <c r="C331" s="57" t="s">
        <v>2028</v>
      </c>
      <c r="D331" s="59" t="s">
        <v>2029</v>
      </c>
      <c r="E331" s="57" t="s">
        <v>2030</v>
      </c>
      <c r="F331" s="57">
        <v>303.03859999999997</v>
      </c>
      <c r="G331" s="57">
        <v>11.8505</v>
      </c>
      <c r="H331" s="57">
        <v>303.03789999999998</v>
      </c>
      <c r="I331" s="57">
        <v>302.03039999999999</v>
      </c>
      <c r="J331" s="57">
        <v>145.02600000000001</v>
      </c>
      <c r="K331" s="57">
        <v>173.03219999999999</v>
      </c>
      <c r="L331" s="75" t="s">
        <v>3530</v>
      </c>
      <c r="M331" s="75" t="s">
        <v>3530</v>
      </c>
    </row>
    <row r="332" spans="1:13" x14ac:dyDescent="0.2">
      <c r="A332" s="54">
        <v>331</v>
      </c>
      <c r="B332" s="57">
        <v>268</v>
      </c>
      <c r="C332" s="57" t="s">
        <v>2451</v>
      </c>
      <c r="D332" s="59" t="s">
        <v>3313</v>
      </c>
      <c r="E332" s="57" t="s">
        <v>601</v>
      </c>
      <c r="F332" s="57">
        <v>433.67899999999997</v>
      </c>
      <c r="G332" s="57">
        <v>17.5398</v>
      </c>
      <c r="H332" s="57">
        <v>433.68209999999999</v>
      </c>
      <c r="I332" s="57">
        <v>436.58139999999997</v>
      </c>
      <c r="J332" s="57">
        <v>419.35239999999999</v>
      </c>
      <c r="K332" s="57">
        <v>444.83980000000003</v>
      </c>
      <c r="L332" s="75" t="s">
        <v>600</v>
      </c>
      <c r="M332" s="75" t="s">
        <v>600</v>
      </c>
    </row>
    <row r="333" spans="1:13" x14ac:dyDescent="0.2">
      <c r="A333" s="54">
        <v>332</v>
      </c>
      <c r="B333" s="57">
        <v>269</v>
      </c>
      <c r="C333" s="57" t="s">
        <v>2348</v>
      </c>
      <c r="D333" s="59" t="s">
        <v>2349</v>
      </c>
      <c r="E333" s="57" t="s">
        <v>159</v>
      </c>
      <c r="F333" s="57">
        <v>264.20890000000003</v>
      </c>
      <c r="G333" s="57">
        <v>21.9878</v>
      </c>
      <c r="H333" s="57">
        <v>264.21010000000001</v>
      </c>
      <c r="I333" s="57">
        <v>179.0257</v>
      </c>
      <c r="J333" s="57">
        <v>178.09469999999999</v>
      </c>
      <c r="K333" s="57">
        <v>181.09309999999999</v>
      </c>
      <c r="L333" s="75" t="s">
        <v>158</v>
      </c>
      <c r="M333" s="75" t="s">
        <v>158</v>
      </c>
    </row>
    <row r="334" spans="1:13" x14ac:dyDescent="0.2">
      <c r="A334" s="54">
        <v>333</v>
      </c>
      <c r="B334" s="57">
        <v>270</v>
      </c>
      <c r="C334" s="57" t="s">
        <v>2526</v>
      </c>
      <c r="D334" s="59" t="s">
        <v>979</v>
      </c>
      <c r="E334" s="57" t="s">
        <v>526</v>
      </c>
      <c r="F334" s="57">
        <v>152.095</v>
      </c>
      <c r="G334" s="57">
        <v>6.4955999999999996</v>
      </c>
      <c r="H334" s="57">
        <v>152.09460000000001</v>
      </c>
      <c r="I334" s="57">
        <v>137.07079999999999</v>
      </c>
      <c r="J334" s="57">
        <v>124.06310000000001</v>
      </c>
      <c r="K334" s="57">
        <v>151.0865</v>
      </c>
      <c r="L334" s="75" t="s">
        <v>525</v>
      </c>
      <c r="M334" s="75" t="s">
        <v>525</v>
      </c>
    </row>
    <row r="335" spans="1:13" x14ac:dyDescent="0.2">
      <c r="A335" s="54">
        <v>334</v>
      </c>
      <c r="B335" s="57">
        <v>271</v>
      </c>
      <c r="C335" s="57" t="s">
        <v>1576</v>
      </c>
      <c r="D335" s="59" t="s">
        <v>3234</v>
      </c>
      <c r="E335" s="57" t="s">
        <v>1577</v>
      </c>
      <c r="F335" s="57">
        <v>375.75080000000003</v>
      </c>
      <c r="G335" s="57">
        <v>8.5406999999999993</v>
      </c>
      <c r="H335" s="57">
        <v>307.80990000000003</v>
      </c>
      <c r="I335" s="57">
        <v>342.77890000000002</v>
      </c>
      <c r="J335" s="57">
        <v>344.77600000000001</v>
      </c>
      <c r="K335" s="57">
        <v>309.80700000000002</v>
      </c>
      <c r="L335" s="75" t="s">
        <v>3497</v>
      </c>
      <c r="M335" s="75" t="s">
        <v>3497</v>
      </c>
    </row>
    <row r="336" spans="1:13" x14ac:dyDescent="0.2">
      <c r="A336" s="54">
        <v>335</v>
      </c>
      <c r="B336" s="57">
        <v>272</v>
      </c>
      <c r="C336" s="57" t="s">
        <v>1980</v>
      </c>
      <c r="D336" s="59" t="s">
        <v>1981</v>
      </c>
      <c r="E336" s="57" t="s">
        <v>1982</v>
      </c>
      <c r="F336" s="57">
        <v>350.12020000000001</v>
      </c>
      <c r="G336" s="57">
        <v>22.708600000000001</v>
      </c>
      <c r="H336" s="57">
        <v>321.11250000000001</v>
      </c>
      <c r="I336" s="57">
        <v>349.10759999999999</v>
      </c>
      <c r="J336" s="57">
        <v>347.09059999999999</v>
      </c>
      <c r="K336" s="57">
        <v>345.07600000000002</v>
      </c>
      <c r="L336" s="75" t="s">
        <v>3481</v>
      </c>
      <c r="M336" s="75" t="s">
        <v>3481</v>
      </c>
    </row>
    <row r="337" spans="1:13" x14ac:dyDescent="0.2">
      <c r="A337" s="54">
        <v>336</v>
      </c>
      <c r="B337" s="57">
        <v>273</v>
      </c>
      <c r="C337" s="57" t="s">
        <v>1851</v>
      </c>
      <c r="D337" s="59" t="s">
        <v>3270</v>
      </c>
      <c r="E337" s="57" t="s">
        <v>712</v>
      </c>
      <c r="F337" s="57">
        <v>348.92630000000003</v>
      </c>
      <c r="G337" s="57">
        <v>7.9717000000000002</v>
      </c>
      <c r="H337" s="57">
        <v>257.89429999999999</v>
      </c>
      <c r="I337" s="57">
        <v>196.91970000000001</v>
      </c>
      <c r="J337" s="57">
        <v>198.91669999999999</v>
      </c>
      <c r="K337" s="57">
        <v>259.89120000000003</v>
      </c>
      <c r="L337" s="75" t="s">
        <v>711</v>
      </c>
      <c r="M337" s="75" t="s">
        <v>711</v>
      </c>
    </row>
    <row r="338" spans="1:13" x14ac:dyDescent="0.2">
      <c r="A338" s="54">
        <v>337</v>
      </c>
      <c r="B338" s="57">
        <v>274</v>
      </c>
      <c r="C338" s="57" t="s">
        <v>1873</v>
      </c>
      <c r="D338" s="59" t="s">
        <v>1874</v>
      </c>
      <c r="E338" s="57" t="s">
        <v>716</v>
      </c>
      <c r="F338" s="57">
        <v>305.09629999999999</v>
      </c>
      <c r="G338" s="57">
        <v>7.6675000000000004</v>
      </c>
      <c r="H338" s="57">
        <v>305.09570000000002</v>
      </c>
      <c r="I338" s="57">
        <v>290.07339999999999</v>
      </c>
      <c r="J338" s="57">
        <v>276.05759999999998</v>
      </c>
      <c r="K338" s="57">
        <v>180.11330000000001</v>
      </c>
      <c r="L338" s="75" t="s">
        <v>715</v>
      </c>
      <c r="M338" s="75" t="s">
        <v>715</v>
      </c>
    </row>
    <row r="339" spans="1:13" x14ac:dyDescent="0.2">
      <c r="A339" s="54">
        <v>338</v>
      </c>
      <c r="B339" s="57">
        <v>275</v>
      </c>
      <c r="C339" s="57" t="s">
        <v>2398</v>
      </c>
      <c r="D339" s="59" t="s">
        <v>3235</v>
      </c>
      <c r="E339" s="57" t="s">
        <v>2399</v>
      </c>
      <c r="F339" s="57">
        <v>390.19600000000003</v>
      </c>
      <c r="G339" s="57">
        <v>22.782699999999998</v>
      </c>
      <c r="H339" s="57">
        <v>392.12529999999998</v>
      </c>
      <c r="I339" s="57">
        <v>391.11779999999999</v>
      </c>
      <c r="J339" s="57">
        <v>393.12880000000001</v>
      </c>
      <c r="K339" s="57">
        <v>250.09889999999999</v>
      </c>
      <c r="L339" s="75" t="s">
        <v>3400</v>
      </c>
      <c r="M339" s="75" t="s">
        <v>3400</v>
      </c>
    </row>
    <row r="340" spans="1:13" x14ac:dyDescent="0.2">
      <c r="A340" s="54">
        <v>339</v>
      </c>
      <c r="B340" s="57">
        <v>276</v>
      </c>
      <c r="C340" s="57" t="s">
        <v>2213</v>
      </c>
      <c r="D340" s="59" t="s">
        <v>2214</v>
      </c>
      <c r="E340" s="57" t="s">
        <v>663</v>
      </c>
      <c r="F340" s="57">
        <v>263.00170000000003</v>
      </c>
      <c r="G340" s="57">
        <v>7.2927</v>
      </c>
      <c r="H340" s="57">
        <v>263.0018</v>
      </c>
      <c r="I340" s="57">
        <v>127.0154</v>
      </c>
      <c r="J340" s="57">
        <v>124.982</v>
      </c>
      <c r="K340" s="57">
        <v>109.0048</v>
      </c>
      <c r="L340" s="75" t="s">
        <v>662</v>
      </c>
      <c r="M340" s="75" t="s">
        <v>662</v>
      </c>
    </row>
    <row r="341" spans="1:13" x14ac:dyDescent="0.2">
      <c r="A341" s="54">
        <v>340</v>
      </c>
      <c r="B341" s="57">
        <v>277</v>
      </c>
      <c r="C341" s="57" t="s">
        <v>2218</v>
      </c>
      <c r="D341" s="59" t="s">
        <v>2219</v>
      </c>
      <c r="E341" s="57" t="s">
        <v>676</v>
      </c>
      <c r="F341" s="57">
        <v>260.01280000000003</v>
      </c>
      <c r="G341" s="57">
        <v>7.7035</v>
      </c>
      <c r="H341" s="57">
        <v>260.01249999999999</v>
      </c>
      <c r="I341" s="57">
        <v>261.01760000000002</v>
      </c>
      <c r="J341" s="57">
        <v>262.0102</v>
      </c>
      <c r="K341" s="57">
        <v>121.0107</v>
      </c>
      <c r="L341" s="75" t="s">
        <v>675</v>
      </c>
      <c r="M341" s="75" t="s">
        <v>675</v>
      </c>
    </row>
    <row r="342" spans="1:13" x14ac:dyDescent="0.2">
      <c r="A342" s="54">
        <v>341</v>
      </c>
      <c r="B342" s="57">
        <v>278</v>
      </c>
      <c r="C342" s="57" t="s">
        <v>2209</v>
      </c>
      <c r="D342" s="59" t="s">
        <v>2210</v>
      </c>
      <c r="E342" s="57" t="s">
        <v>685</v>
      </c>
      <c r="F342" s="57">
        <v>274.02850000000001</v>
      </c>
      <c r="G342" s="57">
        <v>6.6363000000000003</v>
      </c>
      <c r="H342" s="57">
        <v>274.02839999999998</v>
      </c>
      <c r="I342" s="57">
        <v>88.034099999999995</v>
      </c>
      <c r="J342" s="57">
        <v>89.041899999999998</v>
      </c>
      <c r="K342" s="57">
        <v>97.046899999999994</v>
      </c>
      <c r="L342" s="75" t="s">
        <v>684</v>
      </c>
      <c r="M342" s="75" t="s">
        <v>684</v>
      </c>
    </row>
    <row r="343" spans="1:13" x14ac:dyDescent="0.2">
      <c r="A343" s="54">
        <v>342</v>
      </c>
      <c r="B343" s="57">
        <v>279</v>
      </c>
      <c r="C343" s="57" t="s">
        <v>2473</v>
      </c>
      <c r="D343" s="59" t="s">
        <v>3236</v>
      </c>
      <c r="E343" s="57" t="s">
        <v>2474</v>
      </c>
      <c r="F343" s="57">
        <v>185.99379999999999</v>
      </c>
      <c r="G343" s="57">
        <v>8.1367999999999991</v>
      </c>
      <c r="H343" s="57">
        <v>185.99340000000001</v>
      </c>
      <c r="I343" s="57">
        <v>96.950900000000004</v>
      </c>
      <c r="J343" s="57">
        <v>187.9691</v>
      </c>
      <c r="K343" s="57">
        <v>106.99509999999999</v>
      </c>
      <c r="L343" s="75" t="s">
        <v>3401</v>
      </c>
      <c r="M343" s="75" t="s">
        <v>3401</v>
      </c>
    </row>
    <row r="344" spans="1:13" x14ac:dyDescent="0.2">
      <c r="A344" s="54">
        <v>343</v>
      </c>
      <c r="B344" s="57">
        <v>280</v>
      </c>
      <c r="C344" s="57" t="s">
        <v>2174</v>
      </c>
      <c r="D344" s="59" t="s">
        <v>2175</v>
      </c>
      <c r="E344" s="57" t="s">
        <v>2176</v>
      </c>
      <c r="F344" s="57">
        <v>319.8997</v>
      </c>
      <c r="G344" s="57">
        <v>7.4481999999999999</v>
      </c>
      <c r="H344" s="57">
        <v>284.93049999999999</v>
      </c>
      <c r="I344" s="57">
        <v>286.92739999999998</v>
      </c>
      <c r="J344" s="57">
        <v>285.93400000000003</v>
      </c>
      <c r="K344" s="57">
        <v>124.98220000000001</v>
      </c>
      <c r="L344" s="75" t="s">
        <v>3506</v>
      </c>
      <c r="M344" s="75" t="s">
        <v>3506</v>
      </c>
    </row>
    <row r="345" spans="1:13" x14ac:dyDescent="0.2">
      <c r="A345" s="54">
        <v>344</v>
      </c>
      <c r="B345" s="57">
        <v>281</v>
      </c>
      <c r="C345" s="57" t="s">
        <v>3113</v>
      </c>
      <c r="D345" s="59" t="s">
        <v>986</v>
      </c>
      <c r="E345" s="57" t="s">
        <v>563</v>
      </c>
      <c r="F345" s="57">
        <v>584.99030000000005</v>
      </c>
      <c r="G345" s="57">
        <v>18.1938</v>
      </c>
      <c r="H345" s="57">
        <v>585.94830000000002</v>
      </c>
      <c r="I345" s="57">
        <v>575.82690000000002</v>
      </c>
      <c r="J345" s="57">
        <v>129.98500000000001</v>
      </c>
      <c r="K345" s="57">
        <v>534.97029999999995</v>
      </c>
      <c r="L345" s="75" t="s">
        <v>562</v>
      </c>
      <c r="M345" s="75" t="s">
        <v>562</v>
      </c>
    </row>
    <row r="346" spans="1:13" x14ac:dyDescent="0.2">
      <c r="A346" s="54">
        <v>345</v>
      </c>
      <c r="B346" s="57">
        <v>282</v>
      </c>
      <c r="C346" s="57" t="s">
        <v>1929</v>
      </c>
      <c r="D346" s="59" t="s">
        <v>1275</v>
      </c>
      <c r="E346" s="57" t="s">
        <v>742</v>
      </c>
      <c r="F346" s="57">
        <v>344.0138</v>
      </c>
      <c r="G346" s="57">
        <v>3.7643</v>
      </c>
      <c r="H346" s="57">
        <v>344.01429999999999</v>
      </c>
      <c r="I346" s="57">
        <v>341.0179</v>
      </c>
      <c r="J346" s="57">
        <v>342.01749999999998</v>
      </c>
      <c r="K346" s="57">
        <v>343.01420000000002</v>
      </c>
      <c r="L346" s="75" t="s">
        <v>720</v>
      </c>
      <c r="M346" s="75" t="s">
        <v>720</v>
      </c>
    </row>
    <row r="347" spans="1:13" x14ac:dyDescent="0.2">
      <c r="A347" s="54">
        <v>346</v>
      </c>
      <c r="B347" s="57">
        <v>283</v>
      </c>
      <c r="C347" s="57" t="s">
        <v>3114</v>
      </c>
      <c r="D347" s="59" t="s">
        <v>3271</v>
      </c>
      <c r="E347" s="57" t="s">
        <v>267</v>
      </c>
      <c r="F347" s="57">
        <v>313.98009999999999</v>
      </c>
      <c r="G347" s="57">
        <v>9.3843999999999994</v>
      </c>
      <c r="H347" s="57">
        <v>120.98390000000001</v>
      </c>
      <c r="I347" s="57">
        <v>121.9919</v>
      </c>
      <c r="J347" s="57">
        <v>267.98250000000002</v>
      </c>
      <c r="K347" s="57">
        <v>118.9683</v>
      </c>
      <c r="L347" s="75" t="s">
        <v>3435</v>
      </c>
      <c r="M347" s="75" t="s">
        <v>3435</v>
      </c>
    </row>
    <row r="348" spans="1:13" x14ac:dyDescent="0.2">
      <c r="A348" s="54">
        <v>347</v>
      </c>
      <c r="B348" s="57" t="s">
        <v>1</v>
      </c>
      <c r="C348" s="57" t="s">
        <v>2536</v>
      </c>
      <c r="D348" s="59" t="s">
        <v>1</v>
      </c>
      <c r="E348" s="57" t="s">
        <v>1</v>
      </c>
      <c r="F348" s="57" t="s">
        <v>1</v>
      </c>
      <c r="G348" s="57">
        <v>4.6574999999999998</v>
      </c>
      <c r="H348" s="57">
        <v>268.9787</v>
      </c>
      <c r="I348" s="57">
        <v>314.94619999999998</v>
      </c>
      <c r="J348" s="57">
        <v>269.9787</v>
      </c>
      <c r="K348" s="57">
        <v>270.97539999999998</v>
      </c>
      <c r="L348" s="75">
        <v>0</v>
      </c>
      <c r="M348" s="75" t="s">
        <v>1</v>
      </c>
    </row>
    <row r="349" spans="1:13" x14ac:dyDescent="0.2">
      <c r="A349" s="54">
        <v>348</v>
      </c>
      <c r="B349" s="57" t="s">
        <v>1</v>
      </c>
      <c r="C349" s="57" t="s">
        <v>1843</v>
      </c>
      <c r="D349" s="59" t="s">
        <v>1</v>
      </c>
      <c r="E349" s="57" t="s">
        <v>1</v>
      </c>
      <c r="F349" s="57" t="s">
        <v>1</v>
      </c>
      <c r="G349" s="57">
        <v>14.253500000000001</v>
      </c>
      <c r="H349" s="57">
        <v>313.98180000000002</v>
      </c>
      <c r="I349" s="57">
        <v>131.04939999999999</v>
      </c>
      <c r="J349" s="57">
        <v>280.1628</v>
      </c>
      <c r="K349" s="57">
        <v>279.15949999999998</v>
      </c>
      <c r="L349" s="75">
        <v>0</v>
      </c>
      <c r="M349" s="75" t="s">
        <v>1</v>
      </c>
    </row>
    <row r="350" spans="1:13" x14ac:dyDescent="0.2">
      <c r="A350" s="54">
        <v>349</v>
      </c>
      <c r="B350" s="57">
        <v>284</v>
      </c>
      <c r="C350" s="57" t="s">
        <v>3129</v>
      </c>
      <c r="D350" s="59" t="s">
        <v>3314</v>
      </c>
      <c r="E350" s="57" t="s">
        <v>278</v>
      </c>
      <c r="F350" s="57">
        <v>613.96090000000004</v>
      </c>
      <c r="G350" s="57">
        <v>5.8761000000000001</v>
      </c>
      <c r="H350" s="57">
        <v>180.9187</v>
      </c>
      <c r="I350" s="57">
        <v>182.91589999999999</v>
      </c>
      <c r="J350" s="57">
        <v>179.92959999999999</v>
      </c>
      <c r="K350" s="57">
        <v>181.9222</v>
      </c>
      <c r="L350" s="75" t="s">
        <v>277</v>
      </c>
      <c r="M350" s="75" t="s">
        <v>277</v>
      </c>
    </row>
    <row r="351" spans="1:13" x14ac:dyDescent="0.2">
      <c r="A351" s="54">
        <v>350</v>
      </c>
      <c r="B351" s="57">
        <v>285</v>
      </c>
      <c r="C351" s="57" t="s">
        <v>2532</v>
      </c>
      <c r="D351" s="59" t="s">
        <v>3272</v>
      </c>
      <c r="E351" s="57" t="s">
        <v>218</v>
      </c>
      <c r="F351" s="57">
        <v>222.08920000000001</v>
      </c>
      <c r="G351" s="57">
        <v>17.269300000000001</v>
      </c>
      <c r="H351" s="57">
        <v>149.01990000000001</v>
      </c>
      <c r="I351" s="57">
        <v>167.0341</v>
      </c>
      <c r="J351" s="57">
        <v>104.0257</v>
      </c>
      <c r="K351" s="57">
        <v>150.06780000000001</v>
      </c>
      <c r="L351" s="75" t="s">
        <v>217</v>
      </c>
      <c r="M351" s="75" t="s">
        <v>217</v>
      </c>
    </row>
    <row r="352" spans="1:13" x14ac:dyDescent="0.2">
      <c r="A352" s="54">
        <v>351</v>
      </c>
      <c r="B352" s="57">
        <v>286</v>
      </c>
      <c r="C352" s="57" t="s">
        <v>1881</v>
      </c>
      <c r="D352" s="59" t="s">
        <v>1730</v>
      </c>
      <c r="E352" s="57" t="s">
        <v>1731</v>
      </c>
      <c r="F352" s="57">
        <v>361.87569999999999</v>
      </c>
      <c r="G352" s="57">
        <v>8.5007999999999999</v>
      </c>
      <c r="H352" s="57">
        <v>361.87509999999997</v>
      </c>
      <c r="I352" s="57">
        <v>262.85649999999998</v>
      </c>
      <c r="J352" s="57">
        <v>264.8535</v>
      </c>
      <c r="K352" s="57">
        <v>260.85950000000003</v>
      </c>
      <c r="L352" s="75" t="s">
        <v>3510</v>
      </c>
      <c r="M352" s="75" t="s">
        <v>3510</v>
      </c>
    </row>
    <row r="353" spans="1:13" x14ac:dyDescent="0.2">
      <c r="A353" s="54">
        <v>352</v>
      </c>
      <c r="B353" s="57" t="s">
        <v>1</v>
      </c>
      <c r="C353" s="57" t="s">
        <v>1729</v>
      </c>
      <c r="D353" s="59" t="s">
        <v>1</v>
      </c>
      <c r="E353" s="57" t="s">
        <v>1</v>
      </c>
      <c r="F353" s="57" t="s">
        <v>1</v>
      </c>
      <c r="G353" s="57">
        <v>8.7103000000000002</v>
      </c>
      <c r="H353" s="57">
        <v>262.85660000000001</v>
      </c>
      <c r="I353" s="57">
        <v>264.85359999999997</v>
      </c>
      <c r="J353" s="57">
        <v>358.83499999999998</v>
      </c>
      <c r="K353" s="57">
        <v>326.8272</v>
      </c>
      <c r="L353" s="75">
        <v>0</v>
      </c>
      <c r="M353" s="75" t="s">
        <v>1</v>
      </c>
    </row>
    <row r="354" spans="1:13" x14ac:dyDescent="0.2">
      <c r="A354" s="54">
        <v>353</v>
      </c>
      <c r="B354" s="57">
        <v>287</v>
      </c>
      <c r="C354" s="57" t="s">
        <v>2758</v>
      </c>
      <c r="D354" s="59" t="s">
        <v>1239</v>
      </c>
      <c r="E354" s="57" t="s">
        <v>796</v>
      </c>
      <c r="F354" s="57">
        <v>260.01600000000002</v>
      </c>
      <c r="G354" s="57">
        <v>7.7035</v>
      </c>
      <c r="H354" s="57">
        <v>260.01420000000002</v>
      </c>
      <c r="I354" s="57">
        <v>207.17439999999999</v>
      </c>
      <c r="J354" s="57">
        <v>203.1798</v>
      </c>
      <c r="K354" s="57">
        <v>206.1301</v>
      </c>
      <c r="L354" s="75" t="s">
        <v>795</v>
      </c>
      <c r="M354" s="75" t="s">
        <v>795</v>
      </c>
    </row>
    <row r="355" spans="1:13" x14ac:dyDescent="0.2">
      <c r="A355" s="54">
        <v>354</v>
      </c>
      <c r="B355" s="57" t="s">
        <v>1</v>
      </c>
      <c r="C355" s="57" t="s">
        <v>3041</v>
      </c>
      <c r="D355" s="59" t="s">
        <v>1</v>
      </c>
      <c r="E355" s="57" t="s">
        <v>1</v>
      </c>
      <c r="F355" s="57" t="s">
        <v>1</v>
      </c>
      <c r="G355" s="57">
        <v>6.5054999999999996</v>
      </c>
      <c r="H355" s="57">
        <v>205.029</v>
      </c>
      <c r="I355" s="57">
        <v>204.02099999999999</v>
      </c>
      <c r="J355" s="57">
        <v>203.0257</v>
      </c>
      <c r="K355" s="57">
        <v>260.01850000000002</v>
      </c>
      <c r="L355" s="75">
        <v>0</v>
      </c>
      <c r="M355" s="75" t="s">
        <v>1</v>
      </c>
    </row>
    <row r="356" spans="1:13" x14ac:dyDescent="0.2">
      <c r="A356" s="54">
        <v>355</v>
      </c>
      <c r="B356" s="57">
        <v>288</v>
      </c>
      <c r="C356" s="57" t="s">
        <v>1637</v>
      </c>
      <c r="D356" s="59" t="s">
        <v>1638</v>
      </c>
      <c r="E356" s="57" t="s">
        <v>290</v>
      </c>
      <c r="F356" s="57">
        <v>323.88339999999999</v>
      </c>
      <c r="G356" s="57">
        <v>11.368499999999999</v>
      </c>
      <c r="H356" s="57">
        <v>325.88</v>
      </c>
      <c r="I356" s="57">
        <v>327.87700000000001</v>
      </c>
      <c r="J356" s="57">
        <v>323.88290000000001</v>
      </c>
      <c r="K356" s="57">
        <v>253.9452</v>
      </c>
      <c r="L356" s="75" t="s">
        <v>289</v>
      </c>
      <c r="M356" s="75" t="s">
        <v>289</v>
      </c>
    </row>
    <row r="357" spans="1:13" x14ac:dyDescent="0.2">
      <c r="A357" s="54">
        <v>356</v>
      </c>
      <c r="B357" s="57">
        <v>289</v>
      </c>
      <c r="C357" s="57" t="s">
        <v>1732</v>
      </c>
      <c r="D357" s="59" t="s">
        <v>3315</v>
      </c>
      <c r="E357" s="57" t="s">
        <v>725</v>
      </c>
      <c r="F357" s="57">
        <v>287.86009999999999</v>
      </c>
      <c r="G357" s="57">
        <v>5.9391999999999996</v>
      </c>
      <c r="H357" s="57">
        <v>182.93379999999999</v>
      </c>
      <c r="I357" s="57">
        <v>180.93700000000001</v>
      </c>
      <c r="J357" s="57">
        <v>218.91079999999999</v>
      </c>
      <c r="K357" s="57">
        <v>184.93109999999999</v>
      </c>
      <c r="L357" s="75" t="s">
        <v>724</v>
      </c>
      <c r="M357" s="75" t="s">
        <v>724</v>
      </c>
    </row>
    <row r="358" spans="1:13" x14ac:dyDescent="0.2">
      <c r="A358" s="54">
        <v>357</v>
      </c>
      <c r="B358" s="57" t="s">
        <v>1</v>
      </c>
      <c r="C358" s="57" t="s">
        <v>1882</v>
      </c>
      <c r="D358" s="59" t="s">
        <v>1</v>
      </c>
      <c r="E358" s="57" t="s">
        <v>1</v>
      </c>
      <c r="F358" s="57" t="s">
        <v>1</v>
      </c>
      <c r="G358" s="57">
        <v>5.9401000000000002</v>
      </c>
      <c r="H358" s="57">
        <v>180.93700000000001</v>
      </c>
      <c r="I358" s="57">
        <v>182.93379999999999</v>
      </c>
      <c r="J358" s="57">
        <v>218.91079999999999</v>
      </c>
      <c r="K358" s="57">
        <v>184.93109999999999</v>
      </c>
      <c r="L358" s="75">
        <v>0</v>
      </c>
      <c r="M358" s="75" t="s">
        <v>1</v>
      </c>
    </row>
    <row r="359" spans="1:13" x14ac:dyDescent="0.2">
      <c r="A359" s="54">
        <v>358</v>
      </c>
      <c r="B359" s="57">
        <v>290</v>
      </c>
      <c r="C359" s="57" t="s">
        <v>1734</v>
      </c>
      <c r="D359" s="59" t="s">
        <v>3557</v>
      </c>
      <c r="E359" s="57" t="s">
        <v>728</v>
      </c>
      <c r="F359" s="57">
        <v>287.86009999999999</v>
      </c>
      <c r="G359" s="57">
        <v>6.2945000000000002</v>
      </c>
      <c r="H359" s="57">
        <v>182.93379999999999</v>
      </c>
      <c r="I359" s="57">
        <v>180.93700000000001</v>
      </c>
      <c r="J359" s="57">
        <v>218.91079999999999</v>
      </c>
      <c r="K359" s="57">
        <v>184.93109999999999</v>
      </c>
      <c r="L359" s="75" t="s">
        <v>724</v>
      </c>
      <c r="M359" s="75" t="s">
        <v>724</v>
      </c>
    </row>
    <row r="360" spans="1:13" x14ac:dyDescent="0.2">
      <c r="A360" s="54">
        <v>359</v>
      </c>
      <c r="B360" s="57" t="s">
        <v>1</v>
      </c>
      <c r="C360" s="57" t="s">
        <v>1883</v>
      </c>
      <c r="D360" s="59" t="s">
        <v>1</v>
      </c>
      <c r="E360" s="57" t="s">
        <v>1</v>
      </c>
      <c r="F360" s="57" t="s">
        <v>1</v>
      </c>
      <c r="G360" s="57">
        <v>6.2999000000000001</v>
      </c>
      <c r="H360" s="57">
        <v>180.93700000000001</v>
      </c>
      <c r="I360" s="57">
        <v>182.93379999999999</v>
      </c>
      <c r="J360" s="57">
        <v>218.91079999999999</v>
      </c>
      <c r="K360" s="57">
        <v>184.93109999999999</v>
      </c>
      <c r="L360" s="75">
        <v>0</v>
      </c>
      <c r="M360" s="75" t="s">
        <v>1</v>
      </c>
    </row>
    <row r="361" spans="1:13" x14ac:dyDescent="0.2">
      <c r="A361" s="54">
        <v>360</v>
      </c>
      <c r="B361" s="57">
        <v>291</v>
      </c>
      <c r="C361" s="57" t="s">
        <v>1736</v>
      </c>
      <c r="D361" s="59" t="s">
        <v>3560</v>
      </c>
      <c r="E361" s="57" t="s">
        <v>1737</v>
      </c>
      <c r="F361" s="57">
        <v>287.86009999999999</v>
      </c>
      <c r="G361" s="57">
        <v>6.7828999999999997</v>
      </c>
      <c r="H361" s="57">
        <v>182.93379999999999</v>
      </c>
      <c r="I361" s="57">
        <v>180.93700000000001</v>
      </c>
      <c r="J361" s="57">
        <v>218.91079999999999</v>
      </c>
      <c r="K361" s="57">
        <v>184.93109999999999</v>
      </c>
      <c r="L361" s="75" t="s">
        <v>724</v>
      </c>
      <c r="M361" s="75" t="s">
        <v>724</v>
      </c>
    </row>
    <row r="362" spans="1:13" x14ac:dyDescent="0.2">
      <c r="A362" s="54">
        <v>361</v>
      </c>
      <c r="B362" s="57" t="s">
        <v>1</v>
      </c>
      <c r="C362" s="57" t="s">
        <v>1885</v>
      </c>
      <c r="D362" s="59" t="s">
        <v>1</v>
      </c>
      <c r="E362" s="57" t="s">
        <v>1</v>
      </c>
      <c r="F362" s="57" t="s">
        <v>1</v>
      </c>
      <c r="G362" s="57">
        <v>6.7938000000000001</v>
      </c>
      <c r="H362" s="57">
        <v>180.93700000000001</v>
      </c>
      <c r="I362" s="57">
        <v>182.93379999999999</v>
      </c>
      <c r="J362" s="57">
        <v>218.91079999999999</v>
      </c>
      <c r="K362" s="57">
        <v>184.93109999999999</v>
      </c>
      <c r="L362" s="75">
        <v>0</v>
      </c>
      <c r="M362" s="75" t="s">
        <v>1</v>
      </c>
    </row>
    <row r="363" spans="1:13" x14ac:dyDescent="0.2">
      <c r="A363" s="54">
        <v>362</v>
      </c>
      <c r="B363" s="57">
        <v>292</v>
      </c>
      <c r="C363" s="57" t="s">
        <v>2424</v>
      </c>
      <c r="D363" s="59" t="s">
        <v>2425</v>
      </c>
      <c r="E363" s="57" t="s">
        <v>2426</v>
      </c>
      <c r="F363" s="57">
        <v>423.767</v>
      </c>
      <c r="G363" s="57">
        <v>12.8512</v>
      </c>
      <c r="H363" s="57">
        <v>104.7694</v>
      </c>
      <c r="I363" s="57">
        <v>186.995</v>
      </c>
      <c r="J363" s="57">
        <v>187.98429999999999</v>
      </c>
      <c r="K363" s="57">
        <v>188.99209999999999</v>
      </c>
      <c r="L363" s="75" t="s">
        <v>3489</v>
      </c>
      <c r="M363" s="75" t="s">
        <v>3489</v>
      </c>
    </row>
    <row r="364" spans="1:13" x14ac:dyDescent="0.2">
      <c r="A364" s="54">
        <v>363</v>
      </c>
      <c r="B364" s="57">
        <v>293</v>
      </c>
      <c r="C364" s="57" t="s">
        <v>2673</v>
      </c>
      <c r="D364" s="59" t="s">
        <v>3316</v>
      </c>
      <c r="E364" s="57" t="s">
        <v>547</v>
      </c>
      <c r="F364" s="57">
        <v>190.95410000000001</v>
      </c>
      <c r="G364" s="57">
        <v>3.8643000000000001</v>
      </c>
      <c r="H364" s="57">
        <v>190.95359999999999</v>
      </c>
      <c r="I364" s="57">
        <v>191.95689999999999</v>
      </c>
      <c r="J364" s="57">
        <v>132.96080000000001</v>
      </c>
      <c r="K364" s="57">
        <v>134.95779999999999</v>
      </c>
      <c r="L364" s="75" t="s">
        <v>546</v>
      </c>
      <c r="M364" s="75" t="s">
        <v>546</v>
      </c>
    </row>
    <row r="365" spans="1:13" x14ac:dyDescent="0.2">
      <c r="A365" s="54">
        <v>364</v>
      </c>
      <c r="B365" s="57">
        <v>294</v>
      </c>
      <c r="C365" s="57" t="s">
        <v>1555</v>
      </c>
      <c r="D365" s="59" t="s">
        <v>1556</v>
      </c>
      <c r="E365" s="57" t="s">
        <v>287</v>
      </c>
      <c r="F365" s="57">
        <v>289.92239999999998</v>
      </c>
      <c r="G365" s="57">
        <v>8.9182000000000006</v>
      </c>
      <c r="H365" s="57">
        <v>291.91899999999998</v>
      </c>
      <c r="I365" s="57">
        <v>289.92200000000003</v>
      </c>
      <c r="J365" s="57">
        <v>219.98410000000001</v>
      </c>
      <c r="K365" s="57">
        <v>293.916</v>
      </c>
      <c r="L365" s="75" t="s">
        <v>280</v>
      </c>
      <c r="M365" s="75" t="s">
        <v>280</v>
      </c>
    </row>
    <row r="366" spans="1:13" x14ac:dyDescent="0.2">
      <c r="A366" s="54">
        <v>365</v>
      </c>
      <c r="B366" s="57">
        <v>295</v>
      </c>
      <c r="C366" s="57" t="s">
        <v>1614</v>
      </c>
      <c r="D366" s="59" t="s">
        <v>1545</v>
      </c>
      <c r="E366" s="57" t="s">
        <v>281</v>
      </c>
      <c r="F366" s="57">
        <v>289.92239999999998</v>
      </c>
      <c r="G366" s="57">
        <v>8.7866999999999997</v>
      </c>
      <c r="H366" s="57">
        <v>219.98410000000001</v>
      </c>
      <c r="I366" s="57">
        <v>291.91890000000001</v>
      </c>
      <c r="J366" s="57">
        <v>289.92189999999999</v>
      </c>
      <c r="K366" s="57">
        <v>221.9811</v>
      </c>
      <c r="L366" s="75" t="s">
        <v>280</v>
      </c>
      <c r="M366" s="75" t="s">
        <v>280</v>
      </c>
    </row>
    <row r="367" spans="1:13" x14ac:dyDescent="0.2">
      <c r="A367" s="54">
        <v>366</v>
      </c>
      <c r="B367" s="57">
        <v>296</v>
      </c>
      <c r="C367" s="57" t="s">
        <v>1633</v>
      </c>
      <c r="D367" s="59" t="s">
        <v>1521</v>
      </c>
      <c r="E367" s="57" t="s">
        <v>297</v>
      </c>
      <c r="F367" s="57">
        <v>323.88339999999999</v>
      </c>
      <c r="G367" s="57">
        <v>10.789</v>
      </c>
      <c r="H367" s="57">
        <v>325.87990000000002</v>
      </c>
      <c r="I367" s="57">
        <v>327.87689999999998</v>
      </c>
      <c r="J367" s="57">
        <v>323.88290000000001</v>
      </c>
      <c r="K367" s="57">
        <v>253.9452</v>
      </c>
      <c r="L367" s="75" t="s">
        <v>289</v>
      </c>
      <c r="M367" s="75" t="s">
        <v>289</v>
      </c>
    </row>
    <row r="368" spans="1:13" x14ac:dyDescent="0.2">
      <c r="A368" s="54">
        <v>367</v>
      </c>
      <c r="B368" s="57">
        <v>297</v>
      </c>
      <c r="C368" s="57" t="s">
        <v>1833</v>
      </c>
      <c r="D368" s="59" t="s">
        <v>3317</v>
      </c>
      <c r="E368" s="57" t="s">
        <v>482</v>
      </c>
      <c r="F368" s="57">
        <v>455.7407</v>
      </c>
      <c r="G368" s="57">
        <v>19.098099999999999</v>
      </c>
      <c r="H368" s="57">
        <v>458.87209999999999</v>
      </c>
      <c r="I368" s="57">
        <v>436.40820000000002</v>
      </c>
      <c r="J368" s="57">
        <v>449.73919999999998</v>
      </c>
      <c r="K368" s="57">
        <v>431.38330000000002</v>
      </c>
      <c r="L368" s="75" t="s">
        <v>481</v>
      </c>
      <c r="M368" s="75" t="s">
        <v>481</v>
      </c>
    </row>
    <row r="369" spans="1:13" x14ac:dyDescent="0.2">
      <c r="A369" s="54">
        <v>368</v>
      </c>
      <c r="B369" s="57">
        <v>298</v>
      </c>
      <c r="C369" s="57" t="s">
        <v>1615</v>
      </c>
      <c r="D369" s="59" t="s">
        <v>1616</v>
      </c>
      <c r="E369" s="57" t="s">
        <v>1617</v>
      </c>
      <c r="F369" s="57">
        <v>289.92239999999998</v>
      </c>
      <c r="G369" s="57">
        <v>8.8778000000000006</v>
      </c>
      <c r="H369" s="57">
        <v>291.91899999999998</v>
      </c>
      <c r="I369" s="57">
        <v>289.92189999999999</v>
      </c>
      <c r="J369" s="57">
        <v>219.98410000000001</v>
      </c>
      <c r="K369" s="57">
        <v>293.91590000000002</v>
      </c>
      <c r="L369" s="75" t="s">
        <v>280</v>
      </c>
      <c r="M369" s="75" t="s">
        <v>280</v>
      </c>
    </row>
    <row r="370" spans="1:13" x14ac:dyDescent="0.2">
      <c r="A370" s="54">
        <v>369</v>
      </c>
      <c r="B370" s="57">
        <v>299</v>
      </c>
      <c r="C370" s="57" t="s">
        <v>1657</v>
      </c>
      <c r="D370" s="59" t="s">
        <v>1658</v>
      </c>
      <c r="E370" s="57" t="s">
        <v>1659</v>
      </c>
      <c r="F370" s="57">
        <v>391.80549999999999</v>
      </c>
      <c r="G370" s="57">
        <v>14.348800000000001</v>
      </c>
      <c r="H370" s="57">
        <v>393.80200000000002</v>
      </c>
      <c r="I370" s="57">
        <v>395.7989</v>
      </c>
      <c r="J370" s="57">
        <v>323.86419999999998</v>
      </c>
      <c r="K370" s="57">
        <v>397.79599999999999</v>
      </c>
      <c r="L370" s="75" t="s">
        <v>282</v>
      </c>
      <c r="M370" s="76" t="s">
        <v>291</v>
      </c>
    </row>
    <row r="371" spans="1:13" x14ac:dyDescent="0.2">
      <c r="A371" s="54">
        <v>370</v>
      </c>
      <c r="B371" s="57">
        <v>300</v>
      </c>
      <c r="C371" s="57" t="s">
        <v>2421</v>
      </c>
      <c r="D371" s="59" t="s">
        <v>3237</v>
      </c>
      <c r="E371" s="57" t="s">
        <v>2422</v>
      </c>
      <c r="F371" s="57">
        <v>367.80500000000001</v>
      </c>
      <c r="G371" s="57">
        <v>6.3639999999999999</v>
      </c>
      <c r="H371" s="57">
        <v>367.80430000000001</v>
      </c>
      <c r="I371" s="57">
        <v>209.96700000000001</v>
      </c>
      <c r="J371" s="57">
        <v>211.9649</v>
      </c>
      <c r="K371" s="57">
        <v>290.88350000000003</v>
      </c>
      <c r="L371" s="75" t="s">
        <v>3513</v>
      </c>
      <c r="M371" s="75" t="s">
        <v>3513</v>
      </c>
    </row>
    <row r="372" spans="1:13" x14ac:dyDescent="0.2">
      <c r="A372" s="54">
        <v>371</v>
      </c>
      <c r="B372" s="57">
        <v>301</v>
      </c>
      <c r="C372" s="57" t="s">
        <v>2096</v>
      </c>
      <c r="D372" s="59" t="s">
        <v>2097</v>
      </c>
      <c r="E372" s="57" t="s">
        <v>922</v>
      </c>
      <c r="F372" s="57">
        <v>283.01670000000001</v>
      </c>
      <c r="G372" s="57">
        <v>9.0020000000000007</v>
      </c>
      <c r="H372" s="57">
        <v>283.01639999999998</v>
      </c>
      <c r="I372" s="57">
        <v>96.056700000000006</v>
      </c>
      <c r="J372" s="57">
        <v>285.01330000000002</v>
      </c>
      <c r="K372" s="57">
        <v>95.048900000000003</v>
      </c>
      <c r="L372" s="75" t="s">
        <v>921</v>
      </c>
      <c r="M372" s="75" t="s">
        <v>921</v>
      </c>
    </row>
    <row r="373" spans="1:13" x14ac:dyDescent="0.2">
      <c r="A373" s="54">
        <v>372</v>
      </c>
      <c r="B373" s="57">
        <v>302</v>
      </c>
      <c r="C373" s="57" t="s">
        <v>2749</v>
      </c>
      <c r="D373" s="59" t="s">
        <v>2750</v>
      </c>
      <c r="E373" s="57" t="s">
        <v>865</v>
      </c>
      <c r="F373" s="57">
        <v>232.017</v>
      </c>
      <c r="G373" s="57">
        <v>10.4276</v>
      </c>
      <c r="H373" s="57">
        <v>232.01730000000001</v>
      </c>
      <c r="I373" s="57">
        <v>231.00819999999999</v>
      </c>
      <c r="J373" s="57">
        <v>233.0052</v>
      </c>
      <c r="K373" s="57">
        <v>230.0198</v>
      </c>
      <c r="L373" s="75" t="s">
        <v>864</v>
      </c>
      <c r="M373" s="75" t="s">
        <v>864</v>
      </c>
    </row>
    <row r="374" spans="1:13" x14ac:dyDescent="0.2">
      <c r="A374" s="54">
        <v>373</v>
      </c>
      <c r="B374" s="57">
        <v>303</v>
      </c>
      <c r="C374" s="57" t="s">
        <v>2014</v>
      </c>
      <c r="D374" s="59" t="s">
        <v>2015</v>
      </c>
      <c r="E374" s="57" t="s">
        <v>867</v>
      </c>
      <c r="F374" s="57">
        <v>248.0119</v>
      </c>
      <c r="G374" s="57">
        <v>7.819</v>
      </c>
      <c r="H374" s="57">
        <v>248.01130000000001</v>
      </c>
      <c r="I374" s="57">
        <v>250.00819999999999</v>
      </c>
      <c r="J374" s="57">
        <v>251.0112</v>
      </c>
      <c r="K374" s="57">
        <v>247.0033</v>
      </c>
      <c r="L374" s="75" t="s">
        <v>866</v>
      </c>
      <c r="M374" s="75" t="s">
        <v>866</v>
      </c>
    </row>
    <row r="375" spans="1:13" x14ac:dyDescent="0.2">
      <c r="A375" s="54">
        <v>374</v>
      </c>
      <c r="B375" s="57" t="s">
        <v>1</v>
      </c>
      <c r="C375" s="57" t="s">
        <v>2016</v>
      </c>
      <c r="D375" s="59" t="s">
        <v>1</v>
      </c>
      <c r="E375" s="57" t="s">
        <v>1</v>
      </c>
      <c r="F375" s="57" t="s">
        <v>1</v>
      </c>
      <c r="G375" s="57">
        <v>10.4276</v>
      </c>
      <c r="H375" s="57">
        <v>248.01130000000001</v>
      </c>
      <c r="I375" s="57">
        <v>250.00819999999999</v>
      </c>
      <c r="J375" s="57">
        <v>251.0112</v>
      </c>
      <c r="K375" s="57">
        <v>247.0033</v>
      </c>
      <c r="L375" s="75">
        <v>0</v>
      </c>
      <c r="M375" s="75" t="s">
        <v>1</v>
      </c>
    </row>
    <row r="376" spans="1:13" x14ac:dyDescent="0.2">
      <c r="A376" s="54">
        <v>375</v>
      </c>
      <c r="B376" s="57" t="s">
        <v>1</v>
      </c>
      <c r="C376" s="57" t="s">
        <v>2017</v>
      </c>
      <c r="D376" s="59" t="s">
        <v>1</v>
      </c>
      <c r="E376" s="57" t="s">
        <v>1</v>
      </c>
      <c r="F376" s="57" t="s">
        <v>1</v>
      </c>
      <c r="G376" s="57">
        <v>10.9678</v>
      </c>
      <c r="H376" s="57">
        <v>248.01130000000001</v>
      </c>
      <c r="I376" s="57">
        <v>250.00819999999999</v>
      </c>
      <c r="J376" s="57">
        <v>251.0112</v>
      </c>
      <c r="K376" s="57">
        <v>247.0033</v>
      </c>
      <c r="L376" s="75">
        <v>0</v>
      </c>
      <c r="M376" s="75" t="s">
        <v>1</v>
      </c>
    </row>
    <row r="377" spans="1:13" x14ac:dyDescent="0.2">
      <c r="A377" s="54">
        <v>376</v>
      </c>
      <c r="B377" s="57" t="s">
        <v>1</v>
      </c>
      <c r="C377" s="57" t="s">
        <v>2018</v>
      </c>
      <c r="D377" s="59" t="s">
        <v>1</v>
      </c>
      <c r="E377" s="57" t="s">
        <v>1</v>
      </c>
      <c r="F377" s="57" t="s">
        <v>1</v>
      </c>
      <c r="G377" s="57">
        <v>10.1561</v>
      </c>
      <c r="H377" s="57">
        <v>248.01130000000001</v>
      </c>
      <c r="I377" s="57">
        <v>250.00819999999999</v>
      </c>
      <c r="J377" s="57">
        <v>251.0112</v>
      </c>
      <c r="K377" s="57">
        <v>247.0033</v>
      </c>
      <c r="L377" s="75">
        <v>0</v>
      </c>
      <c r="M377" s="75" t="s">
        <v>1</v>
      </c>
    </row>
    <row r="378" spans="1:13" x14ac:dyDescent="0.2">
      <c r="A378" s="54">
        <v>377</v>
      </c>
      <c r="B378" s="57">
        <v>304</v>
      </c>
      <c r="C378" s="57" t="s">
        <v>1909</v>
      </c>
      <c r="D378" s="59" t="s">
        <v>1910</v>
      </c>
      <c r="E378" s="57" t="s">
        <v>1911</v>
      </c>
      <c r="F378" s="57">
        <v>403.81689999999998</v>
      </c>
      <c r="G378" s="57">
        <v>9.3919999999999995</v>
      </c>
      <c r="H378" s="57">
        <v>337.92020000000002</v>
      </c>
      <c r="I378" s="57">
        <v>335.92320000000001</v>
      </c>
      <c r="J378" s="57">
        <v>339.9169</v>
      </c>
      <c r="K378" s="57">
        <v>341.9144</v>
      </c>
      <c r="L378" s="75" t="s">
        <v>744</v>
      </c>
      <c r="M378" s="75" t="s">
        <v>744</v>
      </c>
    </row>
    <row r="379" spans="1:13" x14ac:dyDescent="0.2">
      <c r="A379" s="54">
        <v>378</v>
      </c>
      <c r="B379" s="57">
        <v>305</v>
      </c>
      <c r="C379" s="57" t="s">
        <v>1958</v>
      </c>
      <c r="D379" s="59" t="s">
        <v>1959</v>
      </c>
      <c r="E379" s="57" t="s">
        <v>1960</v>
      </c>
      <c r="F379" s="57">
        <v>355.05470000000003</v>
      </c>
      <c r="G379" s="57">
        <v>6.5180999999999996</v>
      </c>
      <c r="H379" s="57">
        <v>306.06970000000001</v>
      </c>
      <c r="I379" s="57">
        <v>307.07299999999998</v>
      </c>
      <c r="J379" s="57">
        <v>326.01510000000002</v>
      </c>
      <c r="K379" s="57">
        <v>327.01819999999998</v>
      </c>
      <c r="L379" s="75" t="s">
        <v>3407</v>
      </c>
      <c r="M379" s="75" t="s">
        <v>3407</v>
      </c>
    </row>
    <row r="380" spans="1:13" x14ac:dyDescent="0.2">
      <c r="A380" s="54">
        <v>379</v>
      </c>
      <c r="B380" s="57">
        <v>306</v>
      </c>
      <c r="C380" s="57" t="s">
        <v>1855</v>
      </c>
      <c r="D380" s="59" t="s">
        <v>1856</v>
      </c>
      <c r="E380" s="57" t="s">
        <v>667</v>
      </c>
      <c r="F380" s="57">
        <v>304.101</v>
      </c>
      <c r="G380" s="57">
        <v>6.4955999999999996</v>
      </c>
      <c r="H380" s="57">
        <v>304.10079999999999</v>
      </c>
      <c r="I380" s="57">
        <v>179.11750000000001</v>
      </c>
      <c r="J380" s="57">
        <v>137.07060000000001</v>
      </c>
      <c r="K380" s="57">
        <v>199.06270000000001</v>
      </c>
      <c r="L380" s="75" t="s">
        <v>666</v>
      </c>
      <c r="M380" s="75" t="s">
        <v>666</v>
      </c>
    </row>
    <row r="381" spans="1:13" x14ac:dyDescent="0.2">
      <c r="A381" s="54">
        <v>380</v>
      </c>
      <c r="B381" s="57">
        <v>307</v>
      </c>
      <c r="C381" s="57" t="s">
        <v>2148</v>
      </c>
      <c r="D381" s="59" t="s">
        <v>3318</v>
      </c>
      <c r="E381" s="57" t="s">
        <v>699</v>
      </c>
      <c r="F381" s="57">
        <v>401.91899999999998</v>
      </c>
      <c r="G381" s="57">
        <v>10.777900000000001</v>
      </c>
      <c r="H381" s="57">
        <v>266.88839999999999</v>
      </c>
      <c r="I381" s="57">
        <v>268.90949999999998</v>
      </c>
      <c r="J381" s="57">
        <v>270.90559999999999</v>
      </c>
      <c r="K381" s="57">
        <v>323.88290000000001</v>
      </c>
      <c r="L381" s="75" t="s">
        <v>698</v>
      </c>
      <c r="M381" s="75" t="s">
        <v>698</v>
      </c>
    </row>
    <row r="382" spans="1:13" x14ac:dyDescent="0.2">
      <c r="A382" s="54">
        <v>381</v>
      </c>
      <c r="B382" s="57">
        <v>308</v>
      </c>
      <c r="C382" s="57" t="s">
        <v>3121</v>
      </c>
      <c r="D382" s="59" t="s">
        <v>3122</v>
      </c>
      <c r="E382" s="57" t="s">
        <v>3123</v>
      </c>
      <c r="F382" s="57">
        <v>413.97370000000001</v>
      </c>
      <c r="G382" s="57">
        <v>5.9794</v>
      </c>
      <c r="H382" s="57">
        <v>180.90010000000001</v>
      </c>
      <c r="I382" s="57">
        <v>130.9315</v>
      </c>
      <c r="J382" s="57">
        <v>181.90350000000001</v>
      </c>
      <c r="K382" s="57">
        <v>178.90309999999999</v>
      </c>
      <c r="L382" s="75" t="s">
        <v>3492</v>
      </c>
      <c r="M382" s="75" t="s">
        <v>3492</v>
      </c>
    </row>
    <row r="383" spans="1:13" x14ac:dyDescent="0.2">
      <c r="A383" s="54">
        <v>382</v>
      </c>
      <c r="B383" s="57">
        <v>309</v>
      </c>
      <c r="C383" s="57" t="s">
        <v>1912</v>
      </c>
      <c r="D383" s="59" t="s">
        <v>1913</v>
      </c>
      <c r="E383" s="57" t="s">
        <v>1914</v>
      </c>
      <c r="F383" s="57">
        <v>339.85500000000002</v>
      </c>
      <c r="G383" s="57">
        <v>6.9667000000000003</v>
      </c>
      <c r="H383" s="57">
        <v>339.85469999999998</v>
      </c>
      <c r="I383" s="57">
        <v>240.8956</v>
      </c>
      <c r="J383" s="57">
        <v>238.89850000000001</v>
      </c>
      <c r="K383" s="57">
        <v>236.8409</v>
      </c>
      <c r="L383" s="75" t="s">
        <v>3524</v>
      </c>
      <c r="M383" s="75" t="s">
        <v>3524</v>
      </c>
    </row>
    <row r="384" spans="1:13" x14ac:dyDescent="0.2">
      <c r="A384" s="54">
        <v>383</v>
      </c>
      <c r="B384" s="57">
        <v>310</v>
      </c>
      <c r="C384" s="57" t="s">
        <v>2497</v>
      </c>
      <c r="D384" s="59" t="s">
        <v>2498</v>
      </c>
      <c r="E384" s="57" t="s">
        <v>11</v>
      </c>
      <c r="F384" s="57">
        <v>287.95119999999997</v>
      </c>
      <c r="G384" s="57">
        <v>9.3582999999999998</v>
      </c>
      <c r="H384" s="57">
        <v>287.9511</v>
      </c>
      <c r="I384" s="57">
        <v>218.01300000000001</v>
      </c>
      <c r="J384" s="57">
        <v>289.94779999999997</v>
      </c>
      <c r="K384" s="57">
        <v>288.95389999999998</v>
      </c>
      <c r="L384" s="75" t="s">
        <v>10</v>
      </c>
      <c r="M384" s="75" t="s">
        <v>10</v>
      </c>
    </row>
    <row r="385" spans="1:13" x14ac:dyDescent="0.2">
      <c r="A385" s="54">
        <v>384</v>
      </c>
      <c r="B385" s="57">
        <v>311</v>
      </c>
      <c r="C385" s="57" t="s">
        <v>1961</v>
      </c>
      <c r="D385" s="59" t="s">
        <v>1962</v>
      </c>
      <c r="E385" s="57" t="s">
        <v>1963</v>
      </c>
      <c r="F385" s="57">
        <v>309.16890000000001</v>
      </c>
      <c r="G385" s="57">
        <v>8.5053000000000001</v>
      </c>
      <c r="H385" s="57">
        <v>309.16820000000001</v>
      </c>
      <c r="I385" s="57">
        <v>238.08279999999999</v>
      </c>
      <c r="J385" s="57">
        <v>280.13</v>
      </c>
      <c r="K385" s="57">
        <v>264.13499999999999</v>
      </c>
      <c r="L385" s="75" t="s">
        <v>3420</v>
      </c>
      <c r="M385" s="75" t="s">
        <v>3420</v>
      </c>
    </row>
    <row r="386" spans="1:13" x14ac:dyDescent="0.2">
      <c r="A386" s="54">
        <v>385</v>
      </c>
      <c r="B386" s="57">
        <v>312</v>
      </c>
      <c r="C386" s="57" t="s">
        <v>3059</v>
      </c>
      <c r="D386" s="59" t="s">
        <v>3060</v>
      </c>
      <c r="E386" s="57" t="s">
        <v>863</v>
      </c>
      <c r="F386" s="57">
        <v>228.1045</v>
      </c>
      <c r="G386" s="57">
        <v>6.2610999999999999</v>
      </c>
      <c r="H386" s="57">
        <v>156.09610000000001</v>
      </c>
      <c r="I386" s="57">
        <v>155.0925</v>
      </c>
      <c r="J386" s="57">
        <v>154.0849</v>
      </c>
      <c r="K386" s="57">
        <v>169.09569999999999</v>
      </c>
      <c r="L386" s="75" t="s">
        <v>862</v>
      </c>
      <c r="M386" s="75" t="s">
        <v>862</v>
      </c>
    </row>
    <row r="387" spans="1:13" x14ac:dyDescent="0.2">
      <c r="A387" s="54">
        <v>386</v>
      </c>
      <c r="B387" s="57">
        <v>313</v>
      </c>
      <c r="C387" s="57" t="s">
        <v>1899</v>
      </c>
      <c r="D387" s="59" t="s">
        <v>1900</v>
      </c>
      <c r="E387" s="57" t="s">
        <v>1787</v>
      </c>
      <c r="F387" s="57">
        <v>315.93799999999999</v>
      </c>
      <c r="G387" s="57">
        <v>9.2988</v>
      </c>
      <c r="H387" s="57">
        <v>246.0008</v>
      </c>
      <c r="I387" s="57">
        <v>247.99789999999999</v>
      </c>
      <c r="J387" s="57">
        <v>317.9357</v>
      </c>
      <c r="K387" s="57">
        <v>315.93860000000001</v>
      </c>
      <c r="L387" s="75" t="s">
        <v>726</v>
      </c>
      <c r="M387" s="75" t="s">
        <v>726</v>
      </c>
    </row>
    <row r="388" spans="1:13" x14ac:dyDescent="0.2">
      <c r="A388" s="54">
        <v>387</v>
      </c>
      <c r="B388" s="57" t="s">
        <v>1</v>
      </c>
      <c r="C388" s="57" t="s">
        <v>1786</v>
      </c>
      <c r="D388" s="59" t="s">
        <v>1</v>
      </c>
      <c r="E388" s="57" t="s">
        <v>1</v>
      </c>
      <c r="F388" s="57" t="s">
        <v>1</v>
      </c>
      <c r="G388" s="57">
        <v>9.2993000000000006</v>
      </c>
      <c r="H388" s="57">
        <v>246.0008</v>
      </c>
      <c r="I388" s="57">
        <v>247.99789999999999</v>
      </c>
      <c r="J388" s="57">
        <v>317.9357</v>
      </c>
      <c r="K388" s="57">
        <v>315.93860000000001</v>
      </c>
      <c r="L388" s="75">
        <v>0</v>
      </c>
      <c r="M388" s="75" t="s">
        <v>1</v>
      </c>
    </row>
    <row r="389" spans="1:13" x14ac:dyDescent="0.2">
      <c r="A389" s="54">
        <v>388</v>
      </c>
      <c r="B389" s="57">
        <v>314</v>
      </c>
      <c r="C389" s="57" t="s">
        <v>1995</v>
      </c>
      <c r="D389" s="59" t="s">
        <v>1231</v>
      </c>
      <c r="E389" s="57" t="s">
        <v>898</v>
      </c>
      <c r="F389" s="57">
        <v>269.11829999999998</v>
      </c>
      <c r="G389" s="57">
        <v>7.1497999999999999</v>
      </c>
      <c r="H389" s="57">
        <v>269.11770000000001</v>
      </c>
      <c r="I389" s="57">
        <v>146.09620000000001</v>
      </c>
      <c r="J389" s="57">
        <v>132.0806</v>
      </c>
      <c r="K389" s="57">
        <v>174.09110000000001</v>
      </c>
      <c r="L389" s="75" t="s">
        <v>896</v>
      </c>
      <c r="M389" s="75" t="s">
        <v>896</v>
      </c>
    </row>
    <row r="390" spans="1:13" x14ac:dyDescent="0.2">
      <c r="A390" s="54">
        <v>389</v>
      </c>
      <c r="B390" s="57">
        <v>315</v>
      </c>
      <c r="C390" s="57" t="s">
        <v>2192</v>
      </c>
      <c r="D390" s="59" t="s">
        <v>2193</v>
      </c>
      <c r="E390" s="57" t="s">
        <v>2194</v>
      </c>
      <c r="F390" s="57">
        <v>343.96280000000002</v>
      </c>
      <c r="G390" s="57">
        <v>9.8598999999999997</v>
      </c>
      <c r="H390" s="57">
        <v>112.928</v>
      </c>
      <c r="I390" s="57">
        <v>266.94670000000002</v>
      </c>
      <c r="J390" s="57">
        <v>268.9434</v>
      </c>
      <c r="K390" s="57">
        <v>269.68819999999999</v>
      </c>
      <c r="L390" s="75" t="s">
        <v>3424</v>
      </c>
      <c r="M390" s="75" t="s">
        <v>3424</v>
      </c>
    </row>
    <row r="391" spans="1:13" x14ac:dyDescent="0.2">
      <c r="A391" s="54">
        <v>390</v>
      </c>
      <c r="B391" s="57">
        <v>316</v>
      </c>
      <c r="C391" s="57" t="s">
        <v>1986</v>
      </c>
      <c r="D391" s="59" t="s">
        <v>1987</v>
      </c>
      <c r="E391" s="57" t="s">
        <v>1988</v>
      </c>
      <c r="F391" s="57">
        <v>228.90199999999999</v>
      </c>
      <c r="G391" s="57">
        <v>5.5362999999999998</v>
      </c>
      <c r="H391" s="57">
        <v>228.9015</v>
      </c>
      <c r="I391" s="57">
        <v>230.89850000000001</v>
      </c>
      <c r="J391" s="57">
        <v>232.8955</v>
      </c>
      <c r="K391" s="57">
        <v>234.89250000000001</v>
      </c>
      <c r="L391" s="75" t="s">
        <v>3437</v>
      </c>
      <c r="M391" s="75" t="s">
        <v>3437</v>
      </c>
    </row>
    <row r="392" spans="1:13" x14ac:dyDescent="0.2">
      <c r="A392" s="54">
        <v>391</v>
      </c>
      <c r="B392" s="57" t="s">
        <v>1</v>
      </c>
      <c r="C392" s="57" t="s">
        <v>1989</v>
      </c>
      <c r="D392" s="59" t="s">
        <v>1</v>
      </c>
      <c r="E392" s="57" t="s">
        <v>1</v>
      </c>
      <c r="F392" s="57" t="s">
        <v>1</v>
      </c>
      <c r="G392" s="57">
        <v>5.7013999999999996</v>
      </c>
      <c r="H392" s="57">
        <v>228.9015</v>
      </c>
      <c r="I392" s="57">
        <v>230.89850000000001</v>
      </c>
      <c r="J392" s="57">
        <v>232.8955</v>
      </c>
      <c r="K392" s="57">
        <v>234.89250000000001</v>
      </c>
      <c r="L392" s="75">
        <v>0</v>
      </c>
      <c r="M392" s="75" t="s">
        <v>1</v>
      </c>
    </row>
    <row r="393" spans="1:13" x14ac:dyDescent="0.2">
      <c r="A393" s="54">
        <v>392</v>
      </c>
      <c r="B393" s="57">
        <v>317</v>
      </c>
      <c r="C393" s="57" t="s">
        <v>1650</v>
      </c>
      <c r="D393" s="59" t="s">
        <v>1345</v>
      </c>
      <c r="E393" s="57" t="s">
        <v>283</v>
      </c>
      <c r="F393" s="57">
        <v>357.84440000000001</v>
      </c>
      <c r="G393" s="57">
        <v>11.1394</v>
      </c>
      <c r="H393" s="57">
        <v>359.84070000000003</v>
      </c>
      <c r="I393" s="57">
        <v>361.83780000000002</v>
      </c>
      <c r="J393" s="57">
        <v>289.90339999999998</v>
      </c>
      <c r="K393" s="57">
        <v>357.84370000000001</v>
      </c>
      <c r="L393" s="75" t="s">
        <v>282</v>
      </c>
      <c r="M393" s="75" t="s">
        <v>282</v>
      </c>
    </row>
    <row r="394" spans="1:13" x14ac:dyDescent="0.2">
      <c r="A394" s="54">
        <v>393</v>
      </c>
      <c r="B394" s="57">
        <v>318</v>
      </c>
      <c r="C394" s="57" t="s">
        <v>1643</v>
      </c>
      <c r="D394" s="59" t="s">
        <v>1525</v>
      </c>
      <c r="E394" s="57" t="s">
        <v>296</v>
      </c>
      <c r="F394" s="57">
        <v>357.84440000000001</v>
      </c>
      <c r="G394" s="57">
        <v>11.9253</v>
      </c>
      <c r="H394" s="57">
        <v>359.84089999999998</v>
      </c>
      <c r="I394" s="57">
        <v>361.83789999999999</v>
      </c>
      <c r="J394" s="57">
        <v>289.90350000000001</v>
      </c>
      <c r="K394" s="57">
        <v>287.90640000000002</v>
      </c>
      <c r="L394" s="75" t="s">
        <v>282</v>
      </c>
      <c r="M394" s="75" t="s">
        <v>282</v>
      </c>
    </row>
    <row r="395" spans="1:13" x14ac:dyDescent="0.2">
      <c r="A395" s="54">
        <v>394</v>
      </c>
      <c r="B395" s="57">
        <v>319</v>
      </c>
      <c r="C395" s="57" t="s">
        <v>1669</v>
      </c>
      <c r="D395" s="59" t="s">
        <v>1535</v>
      </c>
      <c r="E395" s="57" t="s">
        <v>294</v>
      </c>
      <c r="F395" s="57">
        <v>391.80549999999999</v>
      </c>
      <c r="G395" s="57">
        <v>13.617900000000001</v>
      </c>
      <c r="H395" s="57">
        <v>393.8021</v>
      </c>
      <c r="I395" s="57">
        <v>395.79910000000001</v>
      </c>
      <c r="J395" s="57">
        <v>323.86419999999998</v>
      </c>
      <c r="K395" s="57">
        <v>397.79610000000002</v>
      </c>
      <c r="L395" s="75" t="s">
        <v>291</v>
      </c>
      <c r="M395" s="75" t="s">
        <v>291</v>
      </c>
    </row>
    <row r="396" spans="1:13" x14ac:dyDescent="0.2">
      <c r="A396" s="54">
        <v>395</v>
      </c>
      <c r="B396" s="57">
        <v>320</v>
      </c>
      <c r="C396" s="57" t="s">
        <v>1660</v>
      </c>
      <c r="D396" s="59" t="s">
        <v>1661</v>
      </c>
      <c r="E396" s="57" t="s">
        <v>1662</v>
      </c>
      <c r="F396" s="57">
        <v>391.80549999999999</v>
      </c>
      <c r="G396" s="57">
        <v>14.3735</v>
      </c>
      <c r="H396" s="57">
        <v>393.80200000000002</v>
      </c>
      <c r="I396" s="57">
        <v>395.7989</v>
      </c>
      <c r="J396" s="57">
        <v>323.86419999999998</v>
      </c>
      <c r="K396" s="57">
        <v>397.79599999999999</v>
      </c>
      <c r="L396" s="75" t="s">
        <v>291</v>
      </c>
      <c r="M396" s="75" t="s">
        <v>291</v>
      </c>
    </row>
    <row r="397" spans="1:13" x14ac:dyDescent="0.2">
      <c r="A397" s="54">
        <v>396</v>
      </c>
      <c r="B397" s="57">
        <v>321</v>
      </c>
      <c r="C397" s="57" t="s">
        <v>2198</v>
      </c>
      <c r="D397" s="59" t="s">
        <v>2199</v>
      </c>
      <c r="E397" s="57" t="s">
        <v>680</v>
      </c>
      <c r="F397" s="57">
        <v>322.02850000000001</v>
      </c>
      <c r="G397" s="57">
        <v>11.446400000000001</v>
      </c>
      <c r="H397" s="57">
        <v>322.02809999999999</v>
      </c>
      <c r="I397" s="57">
        <v>156.006</v>
      </c>
      <c r="J397" s="57">
        <v>140.02889999999999</v>
      </c>
      <c r="K397" s="57">
        <v>112.9278</v>
      </c>
      <c r="L397" s="75" t="s">
        <v>679</v>
      </c>
      <c r="M397" s="75" t="s">
        <v>679</v>
      </c>
    </row>
    <row r="398" spans="1:13" x14ac:dyDescent="0.2">
      <c r="A398" s="54">
        <v>397</v>
      </c>
      <c r="B398" s="57">
        <v>322</v>
      </c>
      <c r="C398" s="57" t="s">
        <v>3118</v>
      </c>
      <c r="D398" s="59" t="s">
        <v>3119</v>
      </c>
      <c r="E398" s="57" t="s">
        <v>3120</v>
      </c>
      <c r="F398" s="57">
        <v>399.94389999999999</v>
      </c>
      <c r="G398" s="57">
        <v>6.3194999999999997</v>
      </c>
      <c r="H398" s="57">
        <v>130.9451</v>
      </c>
      <c r="I398" s="57">
        <v>181.90870000000001</v>
      </c>
      <c r="J398" s="57">
        <v>182.89779999999999</v>
      </c>
      <c r="K398" s="57">
        <v>131.93430000000001</v>
      </c>
      <c r="L398" s="75" t="s">
        <v>3436</v>
      </c>
      <c r="M398" s="75" t="s">
        <v>3436</v>
      </c>
    </row>
    <row r="399" spans="1:13" x14ac:dyDescent="0.2">
      <c r="A399" s="54">
        <v>398</v>
      </c>
      <c r="B399" s="57">
        <v>323</v>
      </c>
      <c r="C399" s="57" t="s">
        <v>1611</v>
      </c>
      <c r="D399" s="59" t="s">
        <v>1612</v>
      </c>
      <c r="E399" s="57" t="s">
        <v>1613</v>
      </c>
      <c r="F399" s="57">
        <v>289.92239999999998</v>
      </c>
      <c r="G399" s="57">
        <v>7.7458999999999998</v>
      </c>
      <c r="H399" s="57">
        <v>291.91899999999998</v>
      </c>
      <c r="I399" s="57">
        <v>219.98410000000001</v>
      </c>
      <c r="J399" s="57">
        <v>289.92189999999999</v>
      </c>
      <c r="K399" s="57">
        <v>221.9812</v>
      </c>
      <c r="L399" s="75" t="s">
        <v>280</v>
      </c>
      <c r="M399" s="75" t="s">
        <v>280</v>
      </c>
    </row>
    <row r="400" spans="1:13" x14ac:dyDescent="0.2">
      <c r="A400" s="54">
        <v>399</v>
      </c>
      <c r="B400" s="57">
        <v>324</v>
      </c>
      <c r="C400" s="57" t="s">
        <v>1675</v>
      </c>
      <c r="D400" s="59" t="s">
        <v>1676</v>
      </c>
      <c r="E400" s="57" t="s">
        <v>1677</v>
      </c>
      <c r="F400" s="57">
        <v>425.76650000000001</v>
      </c>
      <c r="G400" s="57">
        <v>16.003799999999998</v>
      </c>
      <c r="H400" s="57">
        <v>429.75979999999998</v>
      </c>
      <c r="I400" s="57">
        <v>427.76280000000003</v>
      </c>
      <c r="J400" s="57">
        <v>357.82510000000002</v>
      </c>
      <c r="K400" s="57">
        <v>359.822</v>
      </c>
      <c r="L400" s="75" t="s">
        <v>3509</v>
      </c>
      <c r="M400" s="75" t="s">
        <v>3509</v>
      </c>
    </row>
    <row r="401" spans="1:13" x14ac:dyDescent="0.2">
      <c r="A401" s="54">
        <v>400</v>
      </c>
      <c r="B401" s="57">
        <v>325</v>
      </c>
      <c r="C401" s="57" t="s">
        <v>1821</v>
      </c>
      <c r="D401" s="59" t="s">
        <v>1822</v>
      </c>
      <c r="E401" s="57" t="s">
        <v>1823</v>
      </c>
      <c r="F401" s="57">
        <v>421.77960000000002</v>
      </c>
      <c r="G401" s="57">
        <v>17.8154</v>
      </c>
      <c r="H401" s="57">
        <v>421.79790000000003</v>
      </c>
      <c r="I401" s="57">
        <v>429.69760000000002</v>
      </c>
      <c r="J401" s="57">
        <v>423.64839999999998</v>
      </c>
      <c r="K401" s="57">
        <v>425.6465</v>
      </c>
      <c r="L401" s="75" t="s">
        <v>3472</v>
      </c>
      <c r="M401" s="75" t="s">
        <v>3472</v>
      </c>
    </row>
    <row r="402" spans="1:13" x14ac:dyDescent="0.2">
      <c r="A402" s="54">
        <v>401</v>
      </c>
      <c r="B402" s="57">
        <v>326</v>
      </c>
      <c r="C402" s="57" t="s">
        <v>3062</v>
      </c>
      <c r="D402" s="59" t="s">
        <v>983</v>
      </c>
      <c r="E402" s="57" t="s">
        <v>98</v>
      </c>
      <c r="F402" s="57">
        <v>128.04730000000001</v>
      </c>
      <c r="G402" s="57">
        <v>4.9328000000000003</v>
      </c>
      <c r="H402" s="57">
        <v>129.0367</v>
      </c>
      <c r="I402" s="57">
        <v>111.0262</v>
      </c>
      <c r="J402" s="57">
        <v>101.0598</v>
      </c>
      <c r="K402" s="57">
        <v>87.044200000000004</v>
      </c>
      <c r="L402" s="75" t="s">
        <v>97</v>
      </c>
      <c r="M402" s="75" t="s">
        <v>97</v>
      </c>
    </row>
    <row r="403" spans="1:13" x14ac:dyDescent="0.2">
      <c r="A403" s="54">
        <v>402</v>
      </c>
      <c r="B403" s="57">
        <v>327</v>
      </c>
      <c r="C403" s="57" t="s">
        <v>2082</v>
      </c>
      <c r="D403" s="59" t="s">
        <v>2083</v>
      </c>
      <c r="E403" s="57" t="s">
        <v>2084</v>
      </c>
      <c r="F403" s="57">
        <v>329.03339999999997</v>
      </c>
      <c r="G403" s="57">
        <v>13.1456</v>
      </c>
      <c r="H403" s="57">
        <v>314.00970000000001</v>
      </c>
      <c r="I403" s="57">
        <v>186.95859999999999</v>
      </c>
      <c r="J403" s="57">
        <v>316.00650000000002</v>
      </c>
      <c r="K403" s="57">
        <v>188.95570000000001</v>
      </c>
      <c r="L403" s="75" t="s">
        <v>3397</v>
      </c>
      <c r="M403" s="75" t="s">
        <v>3397</v>
      </c>
    </row>
    <row r="404" spans="1:13" x14ac:dyDescent="0.2">
      <c r="A404" s="54">
        <v>403</v>
      </c>
      <c r="B404" s="57">
        <v>328</v>
      </c>
      <c r="C404" s="57" t="s">
        <v>2438</v>
      </c>
      <c r="D404" s="59" t="s">
        <v>2439</v>
      </c>
      <c r="E404" s="57" t="s">
        <v>2440</v>
      </c>
      <c r="F404" s="57">
        <v>254.1671</v>
      </c>
      <c r="G404" s="57">
        <v>9.0402000000000005</v>
      </c>
      <c r="H404" s="57">
        <v>253.15870000000001</v>
      </c>
      <c r="I404" s="57">
        <v>255.0215</v>
      </c>
      <c r="J404" s="57">
        <v>254.1669</v>
      </c>
      <c r="K404" s="57">
        <v>155.22710000000001</v>
      </c>
      <c r="L404" s="75" t="s">
        <v>3491</v>
      </c>
      <c r="M404" s="75" t="s">
        <v>3491</v>
      </c>
    </row>
    <row r="405" spans="1:13" x14ac:dyDescent="0.2">
      <c r="A405" s="54">
        <v>404</v>
      </c>
      <c r="B405" s="57">
        <v>329</v>
      </c>
      <c r="C405" s="57" t="s">
        <v>2195</v>
      </c>
      <c r="D405" s="59" t="s">
        <v>2196</v>
      </c>
      <c r="E405" s="57" t="s">
        <v>2197</v>
      </c>
      <c r="F405" s="57">
        <v>322.02269999999999</v>
      </c>
      <c r="G405" s="57">
        <v>5.7553000000000001</v>
      </c>
      <c r="H405" s="57">
        <v>322.02210000000002</v>
      </c>
      <c r="I405" s="57">
        <v>293.99059999999997</v>
      </c>
      <c r="J405" s="57">
        <v>145.92500000000001</v>
      </c>
      <c r="K405" s="57">
        <v>96.950400000000002</v>
      </c>
      <c r="L405" s="75" t="s">
        <v>3508</v>
      </c>
      <c r="M405" s="75" t="s">
        <v>3508</v>
      </c>
    </row>
    <row r="406" spans="1:13" x14ac:dyDescent="0.2">
      <c r="A406" s="54">
        <v>405</v>
      </c>
      <c r="B406" s="57">
        <v>330</v>
      </c>
      <c r="C406" s="57" t="s">
        <v>2458</v>
      </c>
      <c r="D406" s="59" t="s">
        <v>3319</v>
      </c>
      <c r="E406" s="57" t="s">
        <v>615</v>
      </c>
      <c r="F406" s="57">
        <v>214.06299999999999</v>
      </c>
      <c r="G406" s="57">
        <v>7.2253999999999996</v>
      </c>
      <c r="H406" s="57">
        <v>214.065</v>
      </c>
      <c r="I406" s="57">
        <v>215.0573</v>
      </c>
      <c r="J406" s="57">
        <v>141.06970000000001</v>
      </c>
      <c r="K406" s="57">
        <v>168.05680000000001</v>
      </c>
      <c r="L406" s="75" t="s">
        <v>614</v>
      </c>
      <c r="M406" s="75" t="s">
        <v>614</v>
      </c>
    </row>
    <row r="407" spans="1:13" x14ac:dyDescent="0.2">
      <c r="A407" s="54">
        <v>406</v>
      </c>
      <c r="B407" s="57">
        <v>331</v>
      </c>
      <c r="C407" s="57" t="s">
        <v>3115</v>
      </c>
      <c r="D407" s="59" t="s">
        <v>3116</v>
      </c>
      <c r="E407" s="57" t="s">
        <v>3117</v>
      </c>
      <c r="F407" s="57">
        <v>363.9769</v>
      </c>
      <c r="G407" s="57">
        <v>18.078800000000001</v>
      </c>
      <c r="H407" s="57">
        <v>363.97840000000002</v>
      </c>
      <c r="I407" s="57">
        <v>130.97280000000001</v>
      </c>
      <c r="J407" s="57">
        <v>180.95150000000001</v>
      </c>
      <c r="K407" s="57">
        <v>364.84370000000001</v>
      </c>
      <c r="L407" s="75" t="s">
        <v>3467</v>
      </c>
      <c r="M407" s="75" t="s">
        <v>3467</v>
      </c>
    </row>
    <row r="408" spans="1:13" x14ac:dyDescent="0.2">
      <c r="A408" s="54">
        <v>407</v>
      </c>
      <c r="B408" s="57">
        <v>332</v>
      </c>
      <c r="C408" s="57" t="s">
        <v>1844</v>
      </c>
      <c r="D408" s="59" t="s">
        <v>3320</v>
      </c>
      <c r="E408" s="57" t="s">
        <v>276</v>
      </c>
      <c r="F408" s="57">
        <v>463.97050000000002</v>
      </c>
      <c r="G408" s="57">
        <v>5.9279999999999999</v>
      </c>
      <c r="H408" s="57">
        <v>130.92179999999999</v>
      </c>
      <c r="I408" s="57">
        <v>218.9111</v>
      </c>
      <c r="J408" s="57">
        <v>268.78829999999999</v>
      </c>
      <c r="K408" s="57">
        <v>132.9607</v>
      </c>
      <c r="L408" s="75" t="s">
        <v>3514</v>
      </c>
      <c r="M408" s="75" t="s">
        <v>3514</v>
      </c>
    </row>
    <row r="409" spans="1:13" x14ac:dyDescent="0.2">
      <c r="A409" s="54">
        <v>408</v>
      </c>
      <c r="B409" s="57" t="s">
        <v>1</v>
      </c>
      <c r="C409" s="57" t="s">
        <v>2537</v>
      </c>
      <c r="D409" s="59" t="s">
        <v>1</v>
      </c>
      <c r="E409" s="57" t="s">
        <v>1</v>
      </c>
      <c r="F409" s="57" t="s">
        <v>1</v>
      </c>
      <c r="G409" s="57">
        <v>13.9451</v>
      </c>
      <c r="H409" s="57">
        <v>130.9718</v>
      </c>
      <c r="I409" s="57">
        <v>158.9667</v>
      </c>
      <c r="J409" s="57">
        <v>160.96369999999999</v>
      </c>
      <c r="K409" s="57">
        <v>159.97</v>
      </c>
      <c r="L409" s="75">
        <v>0</v>
      </c>
      <c r="M409" s="75" t="s">
        <v>1</v>
      </c>
    </row>
    <row r="410" spans="1:13" x14ac:dyDescent="0.2">
      <c r="A410" s="54">
        <v>409</v>
      </c>
      <c r="B410" s="57" t="s">
        <v>1</v>
      </c>
      <c r="C410" s="57" t="s">
        <v>3127</v>
      </c>
      <c r="D410" s="59" t="s">
        <v>1</v>
      </c>
      <c r="E410" s="57" t="s">
        <v>1</v>
      </c>
      <c r="F410" s="57" t="s">
        <v>1</v>
      </c>
      <c r="G410" s="57">
        <v>9.7385999999999999</v>
      </c>
      <c r="H410" s="57">
        <v>181.12219999999999</v>
      </c>
      <c r="I410" s="57">
        <v>130.07769999999999</v>
      </c>
      <c r="J410" s="57">
        <v>182.12989999999999</v>
      </c>
      <c r="K410" s="57">
        <v>180.18289999999999</v>
      </c>
      <c r="L410" s="75">
        <v>0</v>
      </c>
      <c r="M410" s="75" t="s">
        <v>1</v>
      </c>
    </row>
    <row r="411" spans="1:13" x14ac:dyDescent="0.2">
      <c r="A411" s="54">
        <v>410</v>
      </c>
      <c r="B411" s="57">
        <v>333</v>
      </c>
      <c r="C411" s="57" t="s">
        <v>3133</v>
      </c>
      <c r="D411" s="59" t="s">
        <v>3273</v>
      </c>
      <c r="E411" s="57" t="s">
        <v>269</v>
      </c>
      <c r="F411" s="57">
        <v>713.95450000000005</v>
      </c>
      <c r="G411" s="57">
        <v>21.9633</v>
      </c>
      <c r="H411" s="57">
        <v>647.42470000000003</v>
      </c>
      <c r="I411" s="57">
        <v>648.42819999999995</v>
      </c>
      <c r="J411" s="57">
        <v>662.44849999999997</v>
      </c>
      <c r="K411" s="57">
        <v>131.91210000000001</v>
      </c>
      <c r="L411" s="75" t="s">
        <v>268</v>
      </c>
      <c r="M411" s="75" t="s">
        <v>268</v>
      </c>
    </row>
    <row r="412" spans="1:13" x14ac:dyDescent="0.2">
      <c r="A412" s="54">
        <v>411</v>
      </c>
      <c r="B412" s="57">
        <v>334</v>
      </c>
      <c r="C412" s="57" t="s">
        <v>1594</v>
      </c>
      <c r="D412" s="59" t="s">
        <v>1595</v>
      </c>
      <c r="E412" s="57" t="s">
        <v>286</v>
      </c>
      <c r="F412" s="57">
        <v>255.96129999999999</v>
      </c>
      <c r="G412" s="57">
        <v>6.6848000000000001</v>
      </c>
      <c r="H412" s="57">
        <v>186.023</v>
      </c>
      <c r="I412" s="57">
        <v>255.96090000000001</v>
      </c>
      <c r="J412" s="57">
        <v>257.9579</v>
      </c>
      <c r="K412" s="57">
        <v>220.99199999999999</v>
      </c>
      <c r="L412" s="75" t="s">
        <v>285</v>
      </c>
      <c r="M412" s="75" t="s">
        <v>285</v>
      </c>
    </row>
    <row r="413" spans="1:13" x14ac:dyDescent="0.2">
      <c r="A413" s="54">
        <v>412</v>
      </c>
      <c r="B413" s="57">
        <v>335</v>
      </c>
      <c r="C413" s="57" t="s">
        <v>1591</v>
      </c>
      <c r="D413" s="59" t="s">
        <v>1592</v>
      </c>
      <c r="E413" s="57" t="s">
        <v>1593</v>
      </c>
      <c r="F413" s="57">
        <v>255.96129999999999</v>
      </c>
      <c r="G413" s="57">
        <v>6.4843000000000002</v>
      </c>
      <c r="H413" s="57">
        <v>186.0231</v>
      </c>
      <c r="I413" s="57">
        <v>255.96090000000001</v>
      </c>
      <c r="J413" s="57">
        <v>257.9579</v>
      </c>
      <c r="K413" s="57">
        <v>220.99199999999999</v>
      </c>
      <c r="L413" s="75" t="s">
        <v>285</v>
      </c>
      <c r="M413" s="75" t="s">
        <v>285</v>
      </c>
    </row>
    <row r="414" spans="1:13" x14ac:dyDescent="0.2">
      <c r="A414" s="54">
        <v>413</v>
      </c>
      <c r="B414" s="57">
        <v>336</v>
      </c>
      <c r="C414" s="57" t="s">
        <v>1630</v>
      </c>
      <c r="D414" s="59" t="s">
        <v>1631</v>
      </c>
      <c r="E414" s="57" t="s">
        <v>1632</v>
      </c>
      <c r="F414" s="57">
        <v>323.88339999999999</v>
      </c>
      <c r="G414" s="57">
        <v>9.3901000000000003</v>
      </c>
      <c r="H414" s="57">
        <v>325.87990000000002</v>
      </c>
      <c r="I414" s="57">
        <v>253.9452</v>
      </c>
      <c r="J414" s="57">
        <v>255.94220000000001</v>
      </c>
      <c r="K414" s="57">
        <v>327.8768</v>
      </c>
      <c r="L414" s="75" t="s">
        <v>289</v>
      </c>
      <c r="M414" s="75" t="s">
        <v>289</v>
      </c>
    </row>
    <row r="415" spans="1:13" x14ac:dyDescent="0.2">
      <c r="A415" s="54">
        <v>414</v>
      </c>
      <c r="B415" s="57">
        <v>337</v>
      </c>
      <c r="C415" s="57" t="s">
        <v>2413</v>
      </c>
      <c r="D415" s="59" t="s">
        <v>3238</v>
      </c>
      <c r="E415" s="57" t="s">
        <v>2414</v>
      </c>
      <c r="F415" s="57">
        <v>567.78840000000002</v>
      </c>
      <c r="G415" s="57">
        <v>18.127300000000002</v>
      </c>
      <c r="H415" s="57">
        <v>567.78859999999997</v>
      </c>
      <c r="I415" s="57">
        <v>556.76099999999997</v>
      </c>
      <c r="J415" s="57">
        <v>558.75900000000001</v>
      </c>
      <c r="K415" s="57">
        <v>554.76319999999998</v>
      </c>
      <c r="L415" s="75" t="s">
        <v>3464</v>
      </c>
      <c r="M415" s="75" t="s">
        <v>3464</v>
      </c>
    </row>
    <row r="416" spans="1:13" x14ac:dyDescent="0.2">
      <c r="A416" s="54">
        <v>415</v>
      </c>
      <c r="B416" s="57">
        <v>338</v>
      </c>
      <c r="C416" s="57" t="s">
        <v>1624</v>
      </c>
      <c r="D416" s="59" t="s">
        <v>1625</v>
      </c>
      <c r="E416" s="57" t="s">
        <v>1626</v>
      </c>
      <c r="F416" s="57">
        <v>323.88339999999999</v>
      </c>
      <c r="G416" s="57">
        <v>8.8867999999999991</v>
      </c>
      <c r="H416" s="57">
        <v>291.91890000000001</v>
      </c>
      <c r="I416" s="57">
        <v>289.92189999999999</v>
      </c>
      <c r="J416" s="57">
        <v>325.87990000000002</v>
      </c>
      <c r="K416" s="57">
        <v>219.98410000000001</v>
      </c>
      <c r="L416" s="75" t="s">
        <v>289</v>
      </c>
      <c r="M416" s="75" t="s">
        <v>289</v>
      </c>
    </row>
    <row r="417" spans="1:13" x14ac:dyDescent="0.2">
      <c r="A417" s="54">
        <v>416</v>
      </c>
      <c r="B417" s="57">
        <v>339</v>
      </c>
      <c r="C417" s="57" t="s">
        <v>1627</v>
      </c>
      <c r="D417" s="59" t="s">
        <v>1628</v>
      </c>
      <c r="E417" s="57" t="s">
        <v>1629</v>
      </c>
      <c r="F417" s="57">
        <v>323.88339999999999</v>
      </c>
      <c r="G417" s="57">
        <v>9.4755000000000003</v>
      </c>
      <c r="H417" s="57">
        <v>325.88</v>
      </c>
      <c r="I417" s="57">
        <v>253.9452</v>
      </c>
      <c r="J417" s="57">
        <v>327.87689999999998</v>
      </c>
      <c r="K417" s="57">
        <v>255.94229999999999</v>
      </c>
      <c r="L417" s="75" t="s">
        <v>289</v>
      </c>
      <c r="M417" s="75" t="s">
        <v>289</v>
      </c>
    </row>
    <row r="418" spans="1:13" x14ac:dyDescent="0.2">
      <c r="A418" s="54">
        <v>417</v>
      </c>
      <c r="B418" s="57">
        <v>340</v>
      </c>
      <c r="C418" s="57" t="s">
        <v>1621</v>
      </c>
      <c r="D418" s="59" t="s">
        <v>1622</v>
      </c>
      <c r="E418" s="57" t="s">
        <v>1623</v>
      </c>
      <c r="F418" s="57">
        <v>323.88339999999999</v>
      </c>
      <c r="G418" s="57">
        <v>9.9594000000000005</v>
      </c>
      <c r="H418" s="57">
        <v>325.87990000000002</v>
      </c>
      <c r="I418" s="57">
        <v>253.9452</v>
      </c>
      <c r="J418" s="57">
        <v>255.94229999999999</v>
      </c>
      <c r="K418" s="57">
        <v>327.87689999999998</v>
      </c>
      <c r="L418" s="75" t="s">
        <v>289</v>
      </c>
      <c r="M418" s="75" t="s">
        <v>289</v>
      </c>
    </row>
    <row r="419" spans="1:13" x14ac:dyDescent="0.2">
      <c r="A419" s="54">
        <v>418</v>
      </c>
      <c r="B419" s="57">
        <v>341</v>
      </c>
      <c r="C419" s="57" t="s">
        <v>1634</v>
      </c>
      <c r="D419" s="59" t="s">
        <v>1635</v>
      </c>
      <c r="E419" s="57" t="s">
        <v>1636</v>
      </c>
      <c r="F419" s="57">
        <v>323.88339999999999</v>
      </c>
      <c r="G419" s="57">
        <v>10.146800000000001</v>
      </c>
      <c r="H419" s="57">
        <v>325.88</v>
      </c>
      <c r="I419" s="57">
        <v>327.8768</v>
      </c>
      <c r="J419" s="57">
        <v>323.88279999999997</v>
      </c>
      <c r="K419" s="57">
        <v>253.9452</v>
      </c>
      <c r="L419" s="75" t="s">
        <v>289</v>
      </c>
      <c r="M419" s="75" t="s">
        <v>289</v>
      </c>
    </row>
    <row r="420" spans="1:13" x14ac:dyDescent="0.2">
      <c r="A420" s="54">
        <v>419</v>
      </c>
      <c r="B420" s="57">
        <v>342</v>
      </c>
      <c r="C420" s="57" t="s">
        <v>1644</v>
      </c>
      <c r="D420" s="59" t="s">
        <v>1645</v>
      </c>
      <c r="E420" s="57" t="s">
        <v>1646</v>
      </c>
      <c r="F420" s="57">
        <v>357.84440000000001</v>
      </c>
      <c r="G420" s="57">
        <v>10.3926</v>
      </c>
      <c r="H420" s="57">
        <v>325.88</v>
      </c>
      <c r="I420" s="57">
        <v>359.84089999999998</v>
      </c>
      <c r="J420" s="57">
        <v>327.87700000000001</v>
      </c>
      <c r="K420" s="57">
        <v>323.88299999999998</v>
      </c>
      <c r="L420" s="75" t="s">
        <v>282</v>
      </c>
      <c r="M420" s="75" t="s">
        <v>282</v>
      </c>
    </row>
    <row r="421" spans="1:13" x14ac:dyDescent="0.2">
      <c r="A421" s="54">
        <v>420</v>
      </c>
      <c r="B421" s="57">
        <v>343</v>
      </c>
      <c r="C421" s="57" t="s">
        <v>1642</v>
      </c>
      <c r="D421" s="59" t="s">
        <v>1342</v>
      </c>
      <c r="E421" s="57" t="s">
        <v>284</v>
      </c>
      <c r="F421" s="57">
        <v>357.84440000000001</v>
      </c>
      <c r="G421" s="57">
        <v>11.2935</v>
      </c>
      <c r="H421" s="57">
        <v>359.8408</v>
      </c>
      <c r="I421" s="57">
        <v>289.9033</v>
      </c>
      <c r="J421" s="57">
        <v>361.83780000000002</v>
      </c>
      <c r="K421" s="57">
        <v>287.90629999999999</v>
      </c>
      <c r="L421" s="75" t="s">
        <v>282</v>
      </c>
      <c r="M421" s="75" t="s">
        <v>282</v>
      </c>
    </row>
    <row r="422" spans="1:13" x14ac:dyDescent="0.2">
      <c r="A422" s="54">
        <v>421</v>
      </c>
      <c r="B422" s="57">
        <v>344</v>
      </c>
      <c r="C422" s="57" t="s">
        <v>1639</v>
      </c>
      <c r="D422" s="59" t="s">
        <v>1640</v>
      </c>
      <c r="E422" s="57" t="s">
        <v>1641</v>
      </c>
      <c r="F422" s="57">
        <v>357.84440000000001</v>
      </c>
      <c r="G422" s="57">
        <v>12.547499999999999</v>
      </c>
      <c r="H422" s="57">
        <v>359.84089999999998</v>
      </c>
      <c r="I422" s="57">
        <v>289.90350000000001</v>
      </c>
      <c r="J422" s="57">
        <v>361.83789999999999</v>
      </c>
      <c r="K422" s="57">
        <v>287.90640000000002</v>
      </c>
      <c r="L422" s="75" t="s">
        <v>282</v>
      </c>
      <c r="M422" s="75" t="s">
        <v>282</v>
      </c>
    </row>
    <row r="423" spans="1:13" x14ac:dyDescent="0.2">
      <c r="A423" s="54">
        <v>422</v>
      </c>
      <c r="B423" s="57">
        <v>345</v>
      </c>
      <c r="C423" s="57" t="s">
        <v>1651</v>
      </c>
      <c r="D423" s="59" t="s">
        <v>1652</v>
      </c>
      <c r="E423" s="57" t="s">
        <v>1653</v>
      </c>
      <c r="F423" s="57">
        <v>357.84440000000001</v>
      </c>
      <c r="G423" s="57">
        <v>13.204700000000001</v>
      </c>
      <c r="H423" s="57">
        <v>359.8408</v>
      </c>
      <c r="I423" s="57">
        <v>361.83780000000002</v>
      </c>
      <c r="J423" s="57">
        <v>357.84379999999999</v>
      </c>
      <c r="K423" s="57">
        <v>289.90320000000003</v>
      </c>
      <c r="L423" s="75" t="s">
        <v>282</v>
      </c>
      <c r="M423" s="75" t="s">
        <v>282</v>
      </c>
    </row>
    <row r="424" spans="1:13" x14ac:dyDescent="0.2">
      <c r="A424" s="54">
        <v>423</v>
      </c>
      <c r="B424" s="57">
        <v>346</v>
      </c>
      <c r="C424" s="57" t="s">
        <v>1602</v>
      </c>
      <c r="D424" s="59" t="s">
        <v>1603</v>
      </c>
      <c r="E424" s="57" t="s">
        <v>1604</v>
      </c>
      <c r="F424" s="57">
        <v>255.96129999999999</v>
      </c>
      <c r="G424" s="57">
        <v>8.8239999999999998</v>
      </c>
      <c r="H424" s="57">
        <v>255.96080000000001</v>
      </c>
      <c r="I424" s="57">
        <v>257.9579</v>
      </c>
      <c r="J424" s="57">
        <v>186.023</v>
      </c>
      <c r="K424" s="57">
        <v>259.95499999999998</v>
      </c>
      <c r="L424" s="75" t="s">
        <v>285</v>
      </c>
      <c r="M424" s="75" t="s">
        <v>285</v>
      </c>
    </row>
    <row r="425" spans="1:13" x14ac:dyDescent="0.2">
      <c r="A425" s="54">
        <v>424</v>
      </c>
      <c r="B425" s="57">
        <v>347</v>
      </c>
      <c r="C425" s="57" t="s">
        <v>1824</v>
      </c>
      <c r="D425" s="59" t="s">
        <v>1825</v>
      </c>
      <c r="E425" s="57" t="s">
        <v>1826</v>
      </c>
      <c r="F425" s="57">
        <v>405.78469999999999</v>
      </c>
      <c r="G425" s="57">
        <v>16.011700000000001</v>
      </c>
      <c r="H425" s="57">
        <v>405.78449999999998</v>
      </c>
      <c r="I425" s="57">
        <v>403.78649999999999</v>
      </c>
      <c r="J425" s="57">
        <v>407.78219999999999</v>
      </c>
      <c r="K425" s="57">
        <v>401.78870000000001</v>
      </c>
      <c r="L425" s="75" t="s">
        <v>3473</v>
      </c>
      <c r="M425" s="75" t="s">
        <v>3473</v>
      </c>
    </row>
    <row r="426" spans="1:13" x14ac:dyDescent="0.2">
      <c r="A426" s="54">
        <v>425</v>
      </c>
      <c r="B426" s="57">
        <v>348</v>
      </c>
      <c r="C426" s="57" t="s">
        <v>1834</v>
      </c>
      <c r="D426" s="59" t="s">
        <v>3321</v>
      </c>
      <c r="E426" s="57" t="s">
        <v>477</v>
      </c>
      <c r="F426" s="57">
        <v>439.7457</v>
      </c>
      <c r="G426" s="57">
        <v>18.933299999999999</v>
      </c>
      <c r="H426" s="57">
        <v>444.1823</v>
      </c>
      <c r="I426" s="57">
        <v>446.37509999999997</v>
      </c>
      <c r="J426" s="57">
        <v>442.71879999999999</v>
      </c>
      <c r="K426" s="57">
        <v>439.75</v>
      </c>
      <c r="L426" s="75" t="s">
        <v>476</v>
      </c>
      <c r="M426" s="75" t="s">
        <v>476</v>
      </c>
    </row>
    <row r="427" spans="1:13" x14ac:dyDescent="0.2">
      <c r="A427" s="54">
        <v>426</v>
      </c>
      <c r="B427" s="57">
        <v>349</v>
      </c>
      <c r="C427" s="57" t="s">
        <v>2716</v>
      </c>
      <c r="D427" s="59" t="s">
        <v>2717</v>
      </c>
      <c r="E427" s="57" t="s">
        <v>2718</v>
      </c>
      <c r="F427" s="57">
        <v>282.9803</v>
      </c>
      <c r="G427" s="57">
        <v>10.9678</v>
      </c>
      <c r="H427" s="57">
        <v>279.99369999999999</v>
      </c>
      <c r="I427" s="57">
        <v>281.99059999999997</v>
      </c>
      <c r="J427" s="57">
        <v>280.99669999999998</v>
      </c>
      <c r="K427" s="57">
        <v>296.99619999999999</v>
      </c>
      <c r="L427" s="75" t="s">
        <v>557</v>
      </c>
      <c r="M427" s="75" t="s">
        <v>557</v>
      </c>
    </row>
    <row r="428" spans="1:13" x14ac:dyDescent="0.2">
      <c r="A428" s="54">
        <v>427</v>
      </c>
      <c r="B428" s="57">
        <v>350</v>
      </c>
      <c r="C428" s="57" t="s">
        <v>1801</v>
      </c>
      <c r="D428" s="59" t="s">
        <v>1802</v>
      </c>
      <c r="E428" s="57" t="s">
        <v>1803</v>
      </c>
      <c r="F428" s="57">
        <v>387.8186</v>
      </c>
      <c r="G428" s="57">
        <v>16.444400000000002</v>
      </c>
      <c r="H428" s="57">
        <v>389.81619999999998</v>
      </c>
      <c r="I428" s="57">
        <v>391.81310000000002</v>
      </c>
      <c r="J428" s="57">
        <v>387.81900000000002</v>
      </c>
      <c r="K428" s="57">
        <v>393.80970000000002</v>
      </c>
      <c r="L428" s="75" t="s">
        <v>3445</v>
      </c>
      <c r="M428" s="75" t="s">
        <v>3445</v>
      </c>
    </row>
    <row r="429" spans="1:13" x14ac:dyDescent="0.2">
      <c r="A429" s="54">
        <v>428</v>
      </c>
      <c r="B429" s="57">
        <v>351</v>
      </c>
      <c r="C429" s="57" t="s">
        <v>2008</v>
      </c>
      <c r="D429" s="59" t="s">
        <v>2009</v>
      </c>
      <c r="E429" s="57" t="s">
        <v>629</v>
      </c>
      <c r="F429" s="57">
        <v>349.1678</v>
      </c>
      <c r="G429" s="57">
        <v>13.619400000000001</v>
      </c>
      <c r="H429" s="57">
        <v>349.16719999999998</v>
      </c>
      <c r="I429" s="57">
        <v>181.06460000000001</v>
      </c>
      <c r="J429" s="57">
        <v>265.07369999999997</v>
      </c>
      <c r="K429" s="57">
        <v>180.08070000000001</v>
      </c>
      <c r="L429" s="75" t="s">
        <v>628</v>
      </c>
      <c r="M429" s="75" t="s">
        <v>628</v>
      </c>
    </row>
    <row r="430" spans="1:13" x14ac:dyDescent="0.2">
      <c r="A430" s="54">
        <v>429</v>
      </c>
      <c r="B430" s="57">
        <v>352</v>
      </c>
      <c r="C430" s="57" t="s">
        <v>1566</v>
      </c>
      <c r="D430" s="59" t="s">
        <v>1567</v>
      </c>
      <c r="E430" s="57" t="s">
        <v>1568</v>
      </c>
      <c r="F430" s="57">
        <v>391.80549999999999</v>
      </c>
      <c r="G430" s="57">
        <v>15.132</v>
      </c>
      <c r="H430" s="57">
        <v>393.80169999999998</v>
      </c>
      <c r="I430" s="57">
        <v>395.79860000000002</v>
      </c>
      <c r="J430" s="57">
        <v>397.79579999999999</v>
      </c>
      <c r="K430" s="57">
        <v>323.86419999999998</v>
      </c>
      <c r="L430" s="75" t="s">
        <v>291</v>
      </c>
      <c r="M430" s="75" t="s">
        <v>291</v>
      </c>
    </row>
    <row r="431" spans="1:13" x14ac:dyDescent="0.2">
      <c r="A431" s="54">
        <v>430</v>
      </c>
      <c r="B431" s="57">
        <v>353</v>
      </c>
      <c r="C431" s="57" t="s">
        <v>2431</v>
      </c>
      <c r="D431" s="59" t="s">
        <v>3322</v>
      </c>
      <c r="E431" s="57" t="s">
        <v>343</v>
      </c>
      <c r="F431" s="57">
        <v>561.67200000000003</v>
      </c>
      <c r="G431" s="57">
        <v>13.067</v>
      </c>
      <c r="H431" s="57">
        <v>172.84200000000001</v>
      </c>
      <c r="I431" s="57">
        <v>173.94990000000001</v>
      </c>
      <c r="J431" s="57">
        <v>174.84</v>
      </c>
      <c r="K431" s="57">
        <v>91.041799999999995</v>
      </c>
      <c r="L431" s="75" t="s">
        <v>342</v>
      </c>
      <c r="M431" s="75" t="s">
        <v>342</v>
      </c>
    </row>
    <row r="432" spans="1:13" x14ac:dyDescent="0.2">
      <c r="A432" s="54">
        <v>431</v>
      </c>
      <c r="B432" s="57">
        <v>354</v>
      </c>
      <c r="C432" s="57" t="s">
        <v>1772</v>
      </c>
      <c r="D432" s="59" t="s">
        <v>1773</v>
      </c>
      <c r="E432" s="57" t="s">
        <v>1774</v>
      </c>
      <c r="F432" s="57">
        <v>439.75880000000001</v>
      </c>
      <c r="G432" s="57">
        <v>10.898999999999999</v>
      </c>
      <c r="H432" s="57">
        <v>408.7842</v>
      </c>
      <c r="I432" s="57">
        <v>406.78730000000002</v>
      </c>
      <c r="J432" s="57">
        <v>410.78120000000001</v>
      </c>
      <c r="K432" s="57">
        <v>404.7901</v>
      </c>
      <c r="L432" s="75" t="s">
        <v>734</v>
      </c>
      <c r="M432" s="75" t="s">
        <v>734</v>
      </c>
    </row>
    <row r="433" spans="1:13" x14ac:dyDescent="0.2">
      <c r="A433" s="54">
        <v>432</v>
      </c>
      <c r="B433" s="57" t="s">
        <v>1</v>
      </c>
      <c r="C433" s="57" t="s">
        <v>1934</v>
      </c>
      <c r="D433" s="59" t="s">
        <v>1</v>
      </c>
      <c r="E433" s="57" t="s">
        <v>1</v>
      </c>
      <c r="F433" s="57" t="s">
        <v>1</v>
      </c>
      <c r="G433" s="57">
        <v>10.897</v>
      </c>
      <c r="H433" s="57">
        <v>439.75799999999998</v>
      </c>
      <c r="I433" s="57">
        <v>408.7842</v>
      </c>
      <c r="J433" s="57">
        <v>406.78730000000002</v>
      </c>
      <c r="K433" s="57">
        <v>410.78120000000001</v>
      </c>
      <c r="L433" s="75">
        <v>0</v>
      </c>
      <c r="M433" s="75" t="s">
        <v>1</v>
      </c>
    </row>
    <row r="434" spans="1:13" x14ac:dyDescent="0.2">
      <c r="A434" s="54">
        <v>433</v>
      </c>
      <c r="B434" s="57">
        <v>355</v>
      </c>
      <c r="C434" s="57" t="s">
        <v>1687</v>
      </c>
      <c r="D434" s="59" t="s">
        <v>1688</v>
      </c>
      <c r="E434" s="57" t="s">
        <v>1689</v>
      </c>
      <c r="F434" s="57">
        <v>459.72750000000002</v>
      </c>
      <c r="G434" s="57">
        <v>16.902000000000001</v>
      </c>
      <c r="H434" s="57">
        <v>463.72070000000002</v>
      </c>
      <c r="I434" s="57">
        <v>461.72399999999999</v>
      </c>
      <c r="J434" s="57">
        <v>465.71780000000001</v>
      </c>
      <c r="K434" s="57">
        <v>391.78640000000001</v>
      </c>
      <c r="L434" s="75" t="s">
        <v>3538</v>
      </c>
      <c r="M434" s="75" t="s">
        <v>3538</v>
      </c>
    </row>
    <row r="435" spans="1:13" x14ac:dyDescent="0.2">
      <c r="A435" s="54">
        <v>434</v>
      </c>
      <c r="B435" s="57">
        <v>356</v>
      </c>
      <c r="C435" s="57" t="s">
        <v>1795</v>
      </c>
      <c r="D435" s="59" t="s">
        <v>1796</v>
      </c>
      <c r="E435" s="57" t="s">
        <v>1797</v>
      </c>
      <c r="F435" s="57">
        <v>353.85759999999999</v>
      </c>
      <c r="G435" s="57">
        <v>14.378</v>
      </c>
      <c r="H435" s="57">
        <v>355.85480000000001</v>
      </c>
      <c r="I435" s="57">
        <v>353.85770000000002</v>
      </c>
      <c r="J435" s="57">
        <v>357.85180000000003</v>
      </c>
      <c r="K435" s="57">
        <v>359.84870000000001</v>
      </c>
      <c r="L435" s="75" t="s">
        <v>3416</v>
      </c>
      <c r="M435" s="75" t="s">
        <v>3416</v>
      </c>
    </row>
    <row r="436" spans="1:13" x14ac:dyDescent="0.2">
      <c r="A436" s="54">
        <v>435</v>
      </c>
      <c r="B436" s="57">
        <v>357</v>
      </c>
      <c r="C436" s="57" t="s">
        <v>2482</v>
      </c>
      <c r="D436" s="59" t="s">
        <v>3215</v>
      </c>
      <c r="E436" s="57" t="s">
        <v>226</v>
      </c>
      <c r="F436" s="57">
        <v>292.1311</v>
      </c>
      <c r="G436" s="57">
        <v>23.439599999999999</v>
      </c>
      <c r="H436" s="57">
        <v>292.12830000000002</v>
      </c>
      <c r="I436" s="57">
        <v>293.05110000000002</v>
      </c>
      <c r="J436" s="57">
        <v>296.25020000000001</v>
      </c>
      <c r="K436" s="57">
        <v>297.20620000000002</v>
      </c>
      <c r="L436" s="75" t="s">
        <v>225</v>
      </c>
      <c r="M436" s="75" t="s">
        <v>225</v>
      </c>
    </row>
    <row r="437" spans="1:13" x14ac:dyDescent="0.2">
      <c r="A437" s="54">
        <v>436</v>
      </c>
      <c r="B437" s="57">
        <v>358</v>
      </c>
      <c r="C437" s="57" t="s">
        <v>2483</v>
      </c>
      <c r="D437" s="59" t="s">
        <v>963</v>
      </c>
      <c r="E437" s="57" t="s">
        <v>228</v>
      </c>
      <c r="F437" s="57">
        <v>294.14670000000001</v>
      </c>
      <c r="G437" s="57">
        <v>8.5111000000000008</v>
      </c>
      <c r="H437" s="57">
        <v>294.14460000000003</v>
      </c>
      <c r="I437" s="57">
        <v>280.1293</v>
      </c>
      <c r="J437" s="57">
        <v>281.13279999999997</v>
      </c>
      <c r="K437" s="57">
        <v>236.13910000000001</v>
      </c>
      <c r="L437" s="75" t="s">
        <v>227</v>
      </c>
      <c r="M437" s="75" t="s">
        <v>227</v>
      </c>
    </row>
    <row r="438" spans="1:13" x14ac:dyDescent="0.2">
      <c r="A438" s="54">
        <v>437</v>
      </c>
      <c r="B438" s="57">
        <v>359</v>
      </c>
      <c r="C438" s="57" t="s">
        <v>1972</v>
      </c>
      <c r="D438" s="59" t="s">
        <v>1973</v>
      </c>
      <c r="E438" s="57" t="s">
        <v>884</v>
      </c>
      <c r="F438" s="57">
        <v>281.13749999999999</v>
      </c>
      <c r="G438" s="57">
        <v>8.6189</v>
      </c>
      <c r="H438" s="57">
        <v>281.13720000000001</v>
      </c>
      <c r="I438" s="57">
        <v>252.09800000000001</v>
      </c>
      <c r="J438" s="57">
        <v>162.07839999999999</v>
      </c>
      <c r="K438" s="57">
        <v>191.0686</v>
      </c>
      <c r="L438" s="75" t="s">
        <v>883</v>
      </c>
      <c r="M438" s="75" t="s">
        <v>883</v>
      </c>
    </row>
    <row r="439" spans="1:13" x14ac:dyDescent="0.2">
      <c r="A439" s="54">
        <v>438</v>
      </c>
      <c r="B439" s="57">
        <v>360</v>
      </c>
      <c r="C439" s="57" t="s">
        <v>2484</v>
      </c>
      <c r="D439" s="59" t="s">
        <v>3377</v>
      </c>
      <c r="E439" s="57" t="s">
        <v>220</v>
      </c>
      <c r="F439" s="57">
        <v>308.12599999999998</v>
      </c>
      <c r="G439" s="57">
        <v>18.4481</v>
      </c>
      <c r="H439" s="57">
        <v>204.1146</v>
      </c>
      <c r="I439" s="57">
        <v>205.1223</v>
      </c>
      <c r="J439" s="57">
        <v>199.11179999999999</v>
      </c>
      <c r="K439" s="57">
        <v>209.02930000000001</v>
      </c>
      <c r="L439" s="75" t="s">
        <v>219</v>
      </c>
      <c r="M439" s="75" t="s">
        <v>219</v>
      </c>
    </row>
    <row r="440" spans="1:13" x14ac:dyDescent="0.2">
      <c r="A440" s="54">
        <v>439</v>
      </c>
      <c r="B440" s="57">
        <v>361</v>
      </c>
      <c r="C440" s="57" t="s">
        <v>2189</v>
      </c>
      <c r="D440" s="59" t="s">
        <v>2190</v>
      </c>
      <c r="E440" s="57" t="s">
        <v>2191</v>
      </c>
      <c r="F440" s="57">
        <v>371.93509999999998</v>
      </c>
      <c r="G440" s="57">
        <v>9.9865999999999993</v>
      </c>
      <c r="H440" s="57">
        <v>371.93430000000001</v>
      </c>
      <c r="I440" s="57">
        <v>336.96640000000002</v>
      </c>
      <c r="J440" s="57">
        <v>338.964</v>
      </c>
      <c r="K440" s="57">
        <v>268.88589999999999</v>
      </c>
      <c r="L440" s="75" t="s">
        <v>3425</v>
      </c>
      <c r="M440" s="75" t="s">
        <v>3425</v>
      </c>
    </row>
    <row r="441" spans="1:13" x14ac:dyDescent="0.2">
      <c r="A441" s="54">
        <v>440</v>
      </c>
      <c r="B441" s="57">
        <v>362</v>
      </c>
      <c r="C441" s="57" t="s">
        <v>1699</v>
      </c>
      <c r="D441" s="59" t="s">
        <v>1700</v>
      </c>
      <c r="E441" s="57" t="s">
        <v>1701</v>
      </c>
      <c r="F441" s="57">
        <v>403.80470000000003</v>
      </c>
      <c r="G441" s="57">
        <v>10.9147</v>
      </c>
      <c r="H441" s="57">
        <v>403.80470000000003</v>
      </c>
      <c r="I441" s="57">
        <v>245.96770000000001</v>
      </c>
      <c r="J441" s="57">
        <v>247.96559999999999</v>
      </c>
      <c r="K441" s="57">
        <v>405.8023</v>
      </c>
      <c r="L441" s="75" t="s">
        <v>3475</v>
      </c>
      <c r="M441" s="75" t="s">
        <v>3475</v>
      </c>
    </row>
    <row r="442" spans="1:13" x14ac:dyDescent="0.2">
      <c r="A442" s="54">
        <v>441</v>
      </c>
      <c r="B442" s="57">
        <v>363</v>
      </c>
      <c r="C442" s="57" t="s">
        <v>1605</v>
      </c>
      <c r="D442" s="59" t="s">
        <v>1606</v>
      </c>
      <c r="E442" s="57" t="s">
        <v>1607</v>
      </c>
      <c r="F442" s="57">
        <v>289.92239999999998</v>
      </c>
      <c r="G442" s="57">
        <v>8.0755999999999997</v>
      </c>
      <c r="H442" s="57">
        <v>219.98410000000001</v>
      </c>
      <c r="I442" s="57">
        <v>291.91890000000001</v>
      </c>
      <c r="J442" s="57">
        <v>289.92180000000002</v>
      </c>
      <c r="K442" s="57">
        <v>221.9812</v>
      </c>
      <c r="L442" s="75" t="s">
        <v>280</v>
      </c>
      <c r="M442" s="75" t="s">
        <v>280</v>
      </c>
    </row>
    <row r="443" spans="1:13" x14ac:dyDescent="0.2">
      <c r="A443" s="54">
        <v>442</v>
      </c>
      <c r="B443" s="57">
        <v>364</v>
      </c>
      <c r="C443" s="57" t="s">
        <v>1608</v>
      </c>
      <c r="D443" s="59" t="s">
        <v>1609</v>
      </c>
      <c r="E443" s="57" t="s">
        <v>1610</v>
      </c>
      <c r="F443" s="57">
        <v>289.92239999999998</v>
      </c>
      <c r="G443" s="57">
        <v>7.8075000000000001</v>
      </c>
      <c r="H443" s="57">
        <v>291.91890000000001</v>
      </c>
      <c r="I443" s="57">
        <v>219.98410000000001</v>
      </c>
      <c r="J443" s="57">
        <v>289.92180000000002</v>
      </c>
      <c r="K443" s="57">
        <v>221.9812</v>
      </c>
      <c r="L443" s="75" t="s">
        <v>280</v>
      </c>
      <c r="M443" s="75" t="s">
        <v>280</v>
      </c>
    </row>
    <row r="444" spans="1:13" x14ac:dyDescent="0.2">
      <c r="A444" s="54">
        <v>443</v>
      </c>
      <c r="B444" s="57">
        <v>365</v>
      </c>
      <c r="C444" s="57" t="s">
        <v>2053</v>
      </c>
      <c r="D444" s="59" t="s">
        <v>2054</v>
      </c>
      <c r="E444" s="57" t="s">
        <v>934</v>
      </c>
      <c r="F444" s="57">
        <v>316.15690000000001</v>
      </c>
      <c r="G444" s="57">
        <v>19.841699999999999</v>
      </c>
      <c r="H444" s="57">
        <v>208.07310000000001</v>
      </c>
      <c r="I444" s="57">
        <v>207.0651</v>
      </c>
      <c r="J444" s="57">
        <v>273.07940000000002</v>
      </c>
      <c r="K444" s="57">
        <v>316.15390000000002</v>
      </c>
      <c r="L444" s="75" t="s">
        <v>933</v>
      </c>
      <c r="M444" s="75" t="s">
        <v>933</v>
      </c>
    </row>
    <row r="445" spans="1:13" x14ac:dyDescent="0.2">
      <c r="A445" s="54">
        <v>444</v>
      </c>
      <c r="B445" s="57">
        <v>366</v>
      </c>
      <c r="C445" s="57" t="s">
        <v>3048</v>
      </c>
      <c r="D445" s="59" t="s">
        <v>2111</v>
      </c>
      <c r="E445" s="57" t="s">
        <v>2112</v>
      </c>
      <c r="F445" s="57">
        <v>189.0361</v>
      </c>
      <c r="G445" s="57">
        <v>10.029199999999999</v>
      </c>
      <c r="H445" s="57">
        <v>189.03540000000001</v>
      </c>
      <c r="I445" s="57">
        <v>161.01669999999999</v>
      </c>
      <c r="J445" s="57">
        <v>162.02440000000001</v>
      </c>
      <c r="K445" s="57">
        <v>180.0351</v>
      </c>
      <c r="L445" s="75" t="s">
        <v>3520</v>
      </c>
      <c r="M445" s="75" t="s">
        <v>3520</v>
      </c>
    </row>
    <row r="446" spans="1:13" x14ac:dyDescent="0.2">
      <c r="A446" s="54">
        <v>445</v>
      </c>
      <c r="B446" s="57" t="s">
        <v>1</v>
      </c>
      <c r="C446" s="57" t="s">
        <v>2110</v>
      </c>
      <c r="D446" s="59" t="s">
        <v>1</v>
      </c>
      <c r="E446" s="57" t="s">
        <v>1</v>
      </c>
      <c r="F446" s="57" t="s">
        <v>1</v>
      </c>
      <c r="G446" s="57">
        <v>10.4411</v>
      </c>
      <c r="H446" s="57">
        <v>162.0231</v>
      </c>
      <c r="I446" s="57">
        <v>161.0153</v>
      </c>
      <c r="J446" s="57">
        <v>163.0264</v>
      </c>
      <c r="K446" s="57">
        <v>189.0343</v>
      </c>
      <c r="L446" s="75">
        <v>0</v>
      </c>
      <c r="M446" s="75" t="s">
        <v>1</v>
      </c>
    </row>
    <row r="447" spans="1:13" x14ac:dyDescent="0.2">
      <c r="A447" s="54">
        <v>446</v>
      </c>
      <c r="B447" s="57">
        <v>367</v>
      </c>
      <c r="C447" s="57" t="s">
        <v>2340</v>
      </c>
      <c r="D447" s="59" t="s">
        <v>1429</v>
      </c>
      <c r="E447" s="57" t="s">
        <v>25</v>
      </c>
      <c r="F447" s="57">
        <v>180.07859999999999</v>
      </c>
      <c r="G447" s="57">
        <v>8.4425000000000008</v>
      </c>
      <c r="H447" s="57">
        <v>180.07689999999999</v>
      </c>
      <c r="I447" s="57">
        <v>179.0701</v>
      </c>
      <c r="J447" s="57">
        <v>178.065</v>
      </c>
      <c r="K447" s="57">
        <v>121.0762</v>
      </c>
      <c r="L447" s="75" t="s">
        <v>21</v>
      </c>
      <c r="M447" s="75" t="s">
        <v>21</v>
      </c>
    </row>
    <row r="448" spans="1:13" x14ac:dyDescent="0.2">
      <c r="A448" s="54">
        <v>447</v>
      </c>
      <c r="B448" s="57">
        <v>368</v>
      </c>
      <c r="C448" s="57" t="s">
        <v>2345</v>
      </c>
      <c r="D448" s="59" t="s">
        <v>1427</v>
      </c>
      <c r="E448" s="57" t="s">
        <v>24</v>
      </c>
      <c r="F448" s="57">
        <v>194.09399999999999</v>
      </c>
      <c r="G448" s="57">
        <v>7.1494999999999997</v>
      </c>
      <c r="H448" s="57">
        <v>194.09379999999999</v>
      </c>
      <c r="I448" s="57">
        <v>121.06489999999999</v>
      </c>
      <c r="J448" s="57">
        <v>138.00970000000001</v>
      </c>
      <c r="K448" s="57">
        <v>93.033600000000007</v>
      </c>
      <c r="L448" s="75" t="s">
        <v>23</v>
      </c>
      <c r="M448" s="75" t="s">
        <v>23</v>
      </c>
    </row>
    <row r="449" spans="1:13" x14ac:dyDescent="0.2">
      <c r="A449" s="54">
        <v>448</v>
      </c>
      <c r="B449" s="57">
        <v>369</v>
      </c>
      <c r="C449" s="57" t="s">
        <v>2710</v>
      </c>
      <c r="D449" s="59" t="s">
        <v>3381</v>
      </c>
      <c r="E449" s="57" t="s">
        <v>2712</v>
      </c>
      <c r="F449" s="57">
        <v>296.99590000000001</v>
      </c>
      <c r="G449" s="57">
        <v>11.090199999999999</v>
      </c>
      <c r="H449" s="57">
        <v>296.99549999999999</v>
      </c>
      <c r="I449" s="57">
        <v>279.99279999999999</v>
      </c>
      <c r="J449" s="57">
        <v>281.9898</v>
      </c>
      <c r="K449" s="57">
        <v>298.99239999999998</v>
      </c>
      <c r="L449" s="75" t="s">
        <v>3512</v>
      </c>
      <c r="M449" s="75" t="s">
        <v>3512</v>
      </c>
    </row>
    <row r="450" spans="1:13" x14ac:dyDescent="0.2">
      <c r="A450" s="54">
        <v>449</v>
      </c>
      <c r="B450" s="57">
        <v>370</v>
      </c>
      <c r="C450" s="57" t="s">
        <v>1863</v>
      </c>
      <c r="D450" s="59" t="s">
        <v>1864</v>
      </c>
      <c r="E450" s="57" t="s">
        <v>1865</v>
      </c>
      <c r="F450" s="57">
        <v>313.04169999999999</v>
      </c>
      <c r="G450" s="57">
        <v>6.6497999999999999</v>
      </c>
      <c r="H450" s="57">
        <v>313.041</v>
      </c>
      <c r="I450" s="57">
        <v>118.9879</v>
      </c>
      <c r="J450" s="57">
        <v>119.9957</v>
      </c>
      <c r="K450" s="57">
        <v>120.9849</v>
      </c>
      <c r="L450" s="75" t="s">
        <v>3532</v>
      </c>
      <c r="M450" s="75" t="s">
        <v>3532</v>
      </c>
    </row>
    <row r="451" spans="1:13" x14ac:dyDescent="0.2">
      <c r="A451" s="54">
        <v>450</v>
      </c>
      <c r="B451" s="57">
        <v>371</v>
      </c>
      <c r="C451" s="57" t="s">
        <v>1569</v>
      </c>
      <c r="D451" s="59" t="s">
        <v>1570</v>
      </c>
      <c r="E451" s="57" t="s">
        <v>1571</v>
      </c>
      <c r="F451" s="57">
        <v>425.76650000000001</v>
      </c>
      <c r="G451" s="57">
        <v>14.701599999999999</v>
      </c>
      <c r="H451" s="57">
        <v>429.75990000000002</v>
      </c>
      <c r="I451" s="57">
        <v>427.7629</v>
      </c>
      <c r="J451" s="57">
        <v>357.8252</v>
      </c>
      <c r="K451" s="57">
        <v>359.82209999999998</v>
      </c>
      <c r="L451" s="75" t="s">
        <v>3509</v>
      </c>
      <c r="M451" s="75" t="s">
        <v>3509</v>
      </c>
    </row>
    <row r="452" spans="1:13" x14ac:dyDescent="0.2">
      <c r="A452" s="54">
        <v>451</v>
      </c>
      <c r="B452" s="57">
        <v>372</v>
      </c>
      <c r="C452" s="57" t="s">
        <v>1969</v>
      </c>
      <c r="D452" s="59" t="s">
        <v>1970</v>
      </c>
      <c r="E452" s="57" t="s">
        <v>1971</v>
      </c>
      <c r="F452" s="57">
        <v>361.03289999999998</v>
      </c>
      <c r="G452" s="57">
        <v>10.2873</v>
      </c>
      <c r="H452" s="57">
        <v>361.03149999999999</v>
      </c>
      <c r="I452" s="57">
        <v>252.0395</v>
      </c>
      <c r="J452" s="57">
        <v>300.00380000000001</v>
      </c>
      <c r="K452" s="57">
        <v>317.00639999999999</v>
      </c>
      <c r="L452" s="75" t="s">
        <v>3421</v>
      </c>
      <c r="M452" s="75" t="s">
        <v>3421</v>
      </c>
    </row>
    <row r="453" spans="1:13" x14ac:dyDescent="0.2">
      <c r="A453" s="54">
        <v>452</v>
      </c>
      <c r="B453" s="57">
        <v>373</v>
      </c>
      <c r="C453" s="57" t="s">
        <v>3037</v>
      </c>
      <c r="D453" s="59" t="s">
        <v>1229</v>
      </c>
      <c r="E453" s="57" t="s">
        <v>971</v>
      </c>
      <c r="F453" s="57">
        <v>293.09309999999999</v>
      </c>
      <c r="G453" s="57">
        <v>8.1980000000000004</v>
      </c>
      <c r="H453" s="57">
        <v>293.096</v>
      </c>
      <c r="I453" s="57">
        <v>208.02760000000001</v>
      </c>
      <c r="J453" s="57">
        <v>128.0026</v>
      </c>
      <c r="K453" s="57">
        <v>181.01660000000001</v>
      </c>
      <c r="L453" s="75" t="s">
        <v>970</v>
      </c>
      <c r="M453" s="75" t="s">
        <v>970</v>
      </c>
    </row>
    <row r="454" spans="1:13" x14ac:dyDescent="0.2">
      <c r="A454" s="54">
        <v>453</v>
      </c>
      <c r="B454" s="57" t="s">
        <v>1</v>
      </c>
      <c r="C454" s="57" t="s">
        <v>2763</v>
      </c>
      <c r="D454" s="59" t="s">
        <v>1</v>
      </c>
      <c r="E454" s="57" t="s">
        <v>1</v>
      </c>
      <c r="F454" s="57" t="s">
        <v>1</v>
      </c>
      <c r="G454" s="57">
        <v>9.4953000000000003</v>
      </c>
      <c r="H454" s="57">
        <v>202.0778</v>
      </c>
      <c r="I454" s="57">
        <v>203.08099999999999</v>
      </c>
      <c r="J454" s="57">
        <v>207.0325</v>
      </c>
      <c r="K454" s="57">
        <v>293.09350000000001</v>
      </c>
      <c r="L454" s="75">
        <v>0</v>
      </c>
      <c r="M454" s="75" t="s">
        <v>1</v>
      </c>
    </row>
    <row r="455" spans="1:13" x14ac:dyDescent="0.2">
      <c r="A455" s="54">
        <v>454</v>
      </c>
      <c r="B455" s="57">
        <v>374</v>
      </c>
      <c r="C455" s="57" t="s">
        <v>2535</v>
      </c>
      <c r="D455" s="59" t="s">
        <v>3274</v>
      </c>
      <c r="E455" s="57" t="s">
        <v>214</v>
      </c>
      <c r="F455" s="57">
        <v>180.04230000000001</v>
      </c>
      <c r="G455" s="57">
        <v>14.283099999999999</v>
      </c>
      <c r="H455" s="57">
        <v>163.03899999999999</v>
      </c>
      <c r="I455" s="57">
        <v>179.03399999999999</v>
      </c>
      <c r="J455" s="57">
        <v>133.02850000000001</v>
      </c>
      <c r="K455" s="57">
        <v>180.8716</v>
      </c>
      <c r="L455" s="75" t="s">
        <v>213</v>
      </c>
      <c r="M455" s="75" t="s">
        <v>213</v>
      </c>
    </row>
    <row r="456" spans="1:13" x14ac:dyDescent="0.2">
      <c r="A456" s="54">
        <v>455</v>
      </c>
      <c r="B456" s="57">
        <v>375</v>
      </c>
      <c r="C456" s="57" t="s">
        <v>2533</v>
      </c>
      <c r="D456" s="59" t="s">
        <v>3275</v>
      </c>
      <c r="E456" s="57" t="s">
        <v>232</v>
      </c>
      <c r="F456" s="57">
        <v>278.15179999999998</v>
      </c>
      <c r="G456" s="57">
        <v>9.7205999999999992</v>
      </c>
      <c r="H456" s="57">
        <v>223.16909999999999</v>
      </c>
      <c r="I456" s="57">
        <v>163.11160000000001</v>
      </c>
      <c r="J456" s="57">
        <v>221.22149999999999</v>
      </c>
      <c r="K456" s="57">
        <v>119.0855</v>
      </c>
      <c r="L456" s="75" t="s">
        <v>230</v>
      </c>
      <c r="M456" s="75" t="s">
        <v>230</v>
      </c>
    </row>
    <row r="457" spans="1:13" x14ac:dyDescent="0.2">
      <c r="A457" s="54">
        <v>456</v>
      </c>
      <c r="B457" s="57">
        <v>376</v>
      </c>
      <c r="C457" s="57" t="s">
        <v>1926</v>
      </c>
      <c r="D457" s="59" t="s">
        <v>1927</v>
      </c>
      <c r="E457" s="57" t="s">
        <v>1928</v>
      </c>
      <c r="F457" s="57">
        <v>361.87599999999998</v>
      </c>
      <c r="G457" s="57">
        <v>14.112500000000001</v>
      </c>
      <c r="H457" s="57">
        <v>361.87470000000002</v>
      </c>
      <c r="I457" s="57">
        <v>376.8981</v>
      </c>
      <c r="J457" s="57">
        <v>374.90050000000002</v>
      </c>
      <c r="K457" s="57">
        <v>378.89499999999998</v>
      </c>
      <c r="L457" s="75" t="s">
        <v>3510</v>
      </c>
      <c r="M457" s="76" t="s">
        <v>3427</v>
      </c>
    </row>
    <row r="458" spans="1:13" x14ac:dyDescent="0.2">
      <c r="A458" s="54">
        <v>457</v>
      </c>
      <c r="B458" s="57">
        <v>377</v>
      </c>
      <c r="C458" s="57" t="s">
        <v>2971</v>
      </c>
      <c r="D458" s="59" t="s">
        <v>3276</v>
      </c>
      <c r="E458" s="57" t="s">
        <v>74</v>
      </c>
      <c r="F458" s="57">
        <v>154.13576</v>
      </c>
      <c r="G458" s="57">
        <v>9.8262</v>
      </c>
      <c r="H458" s="57">
        <v>154.1354</v>
      </c>
      <c r="I458" s="57">
        <v>153.1275</v>
      </c>
      <c r="J458" s="57">
        <v>125.1237</v>
      </c>
      <c r="K458" s="57">
        <v>139.11179999999999</v>
      </c>
      <c r="L458" s="75" t="s">
        <v>73</v>
      </c>
      <c r="M458" s="75" t="s">
        <v>73</v>
      </c>
    </row>
    <row r="459" spans="1:13" x14ac:dyDescent="0.2">
      <c r="A459" s="54">
        <v>458</v>
      </c>
      <c r="B459" s="57">
        <v>378</v>
      </c>
      <c r="C459" s="57" t="s">
        <v>2158</v>
      </c>
      <c r="D459" s="59" t="s">
        <v>2159</v>
      </c>
      <c r="E459" s="57" t="s">
        <v>2160</v>
      </c>
      <c r="F459" s="57">
        <v>357.96949999999998</v>
      </c>
      <c r="G459" s="57">
        <v>12.3255</v>
      </c>
      <c r="H459" s="57">
        <v>266.96620000000001</v>
      </c>
      <c r="I459" s="57">
        <v>267.96980000000002</v>
      </c>
      <c r="J459" s="57">
        <v>322.93200000000002</v>
      </c>
      <c r="K459" s="57">
        <v>268.96319999999997</v>
      </c>
      <c r="L459" s="75" t="s">
        <v>3405</v>
      </c>
      <c r="M459" s="75" t="s">
        <v>3405</v>
      </c>
    </row>
    <row r="460" spans="1:13" x14ac:dyDescent="0.2">
      <c r="A460" s="54">
        <v>459</v>
      </c>
      <c r="B460" s="57">
        <v>379</v>
      </c>
      <c r="C460" s="57" t="s">
        <v>1964</v>
      </c>
      <c r="D460" s="59" t="s">
        <v>1965</v>
      </c>
      <c r="E460" s="57" t="s">
        <v>882</v>
      </c>
      <c r="F460" s="57">
        <v>345.09949999999998</v>
      </c>
      <c r="G460" s="57">
        <v>12.672599999999999</v>
      </c>
      <c r="H460" s="57">
        <v>274.01339999999999</v>
      </c>
      <c r="I460" s="57">
        <v>316.06020000000001</v>
      </c>
      <c r="J460" s="57">
        <v>258.01839999999999</v>
      </c>
      <c r="K460" s="57">
        <v>345.09859999999998</v>
      </c>
      <c r="L460" s="75" t="s">
        <v>881</v>
      </c>
      <c r="M460" s="75" t="s">
        <v>881</v>
      </c>
    </row>
    <row r="461" spans="1:13" x14ac:dyDescent="0.2">
      <c r="A461" s="54">
        <v>460</v>
      </c>
      <c r="B461" s="57">
        <v>380</v>
      </c>
      <c r="C461" s="57" t="s">
        <v>2149</v>
      </c>
      <c r="D461" s="59" t="s">
        <v>2150</v>
      </c>
      <c r="E461" s="57" t="s">
        <v>2151</v>
      </c>
      <c r="F461" s="57">
        <v>391.88049999999998</v>
      </c>
      <c r="G461" s="57">
        <v>9.2291000000000007</v>
      </c>
      <c r="H461" s="57">
        <v>358.90870000000001</v>
      </c>
      <c r="I461" s="57">
        <v>356.91120000000001</v>
      </c>
      <c r="J461" s="57">
        <v>360.9058</v>
      </c>
      <c r="K461" s="57">
        <v>242.86109999999999</v>
      </c>
      <c r="L461" s="75" t="s">
        <v>3392</v>
      </c>
      <c r="M461" s="75" t="s">
        <v>3392</v>
      </c>
    </row>
    <row r="462" spans="1:13" x14ac:dyDescent="0.2">
      <c r="A462" s="54">
        <v>461</v>
      </c>
      <c r="B462" s="57">
        <v>381</v>
      </c>
      <c r="C462" s="57" t="s">
        <v>2987</v>
      </c>
      <c r="D462" s="53" t="s">
        <v>3323</v>
      </c>
      <c r="E462" s="57" t="s">
        <v>731</v>
      </c>
      <c r="F462" s="57">
        <v>351.91469999999998</v>
      </c>
      <c r="G462" s="57">
        <v>10.606</v>
      </c>
      <c r="H462" s="57">
        <v>235.00749999999999</v>
      </c>
      <c r="I462" s="57">
        <v>165.06979999999999</v>
      </c>
      <c r="J462" s="57">
        <v>237.00479999999999</v>
      </c>
      <c r="K462" s="57">
        <v>199.03110000000001</v>
      </c>
      <c r="L462" s="75" t="s">
        <v>729</v>
      </c>
      <c r="M462" s="75" t="s">
        <v>729</v>
      </c>
    </row>
    <row r="463" spans="1:13" x14ac:dyDescent="0.2">
      <c r="A463" s="54">
        <v>462</v>
      </c>
      <c r="B463" s="57" t="s">
        <v>1</v>
      </c>
      <c r="C463" s="57" t="s">
        <v>1903</v>
      </c>
      <c r="D463" s="59" t="s">
        <v>1</v>
      </c>
      <c r="E463" s="57" t="s">
        <v>1</v>
      </c>
      <c r="F463" s="57" t="s">
        <v>1</v>
      </c>
      <c r="G463" s="57">
        <v>11.9223</v>
      </c>
      <c r="H463" s="57">
        <v>235.0076</v>
      </c>
      <c r="I463" s="57">
        <v>237.00460000000001</v>
      </c>
      <c r="J463" s="57">
        <v>165.06960000000001</v>
      </c>
      <c r="K463" s="57">
        <v>236.01079999999999</v>
      </c>
      <c r="L463" s="75">
        <v>0</v>
      </c>
      <c r="M463" s="75"/>
    </row>
    <row r="464" spans="1:13" x14ac:dyDescent="0.2">
      <c r="A464" s="54">
        <v>463</v>
      </c>
      <c r="B464" s="57" t="s">
        <v>1</v>
      </c>
      <c r="C464" s="57" t="s">
        <v>1745</v>
      </c>
      <c r="D464" s="59" t="s">
        <v>1</v>
      </c>
      <c r="E464" s="57" t="s">
        <v>1</v>
      </c>
      <c r="F464" s="57" t="s">
        <v>1</v>
      </c>
      <c r="G464" s="57">
        <v>11.9275</v>
      </c>
      <c r="H464" s="57">
        <v>235.0076</v>
      </c>
      <c r="I464" s="57">
        <v>237.00460000000001</v>
      </c>
      <c r="J464" s="57">
        <v>165.06960000000001</v>
      </c>
      <c r="K464" s="57">
        <v>236.01079999999999</v>
      </c>
      <c r="L464" s="75">
        <v>0</v>
      </c>
      <c r="M464" s="75" t="s">
        <v>1</v>
      </c>
    </row>
    <row r="465" spans="1:13" x14ac:dyDescent="0.2">
      <c r="A465" s="54">
        <v>464</v>
      </c>
      <c r="B465" s="57">
        <v>382</v>
      </c>
      <c r="C465" s="57" t="s">
        <v>2908</v>
      </c>
      <c r="D465" s="59" t="s">
        <v>1486</v>
      </c>
      <c r="E465" s="57" t="s">
        <v>473</v>
      </c>
      <c r="F465" s="57">
        <v>252.09389999999999</v>
      </c>
      <c r="G465" s="57">
        <v>16.616299999999999</v>
      </c>
      <c r="H465" s="57">
        <v>252.09370000000001</v>
      </c>
      <c r="I465" s="57">
        <v>250.07810000000001</v>
      </c>
      <c r="J465" s="57">
        <v>253.09690000000001</v>
      </c>
      <c r="K465" s="57">
        <v>126.0463</v>
      </c>
      <c r="L465" s="75" t="s">
        <v>458</v>
      </c>
      <c r="M465" s="75" t="s">
        <v>458</v>
      </c>
    </row>
    <row r="466" spans="1:13" x14ac:dyDescent="0.2">
      <c r="A466" s="54">
        <v>465</v>
      </c>
      <c r="B466" s="57" t="s">
        <v>1</v>
      </c>
      <c r="C466" s="57" t="s">
        <v>2304</v>
      </c>
      <c r="D466" s="59" t="s">
        <v>1</v>
      </c>
      <c r="E466" s="57" t="s">
        <v>1</v>
      </c>
      <c r="F466" s="57" t="s">
        <v>1</v>
      </c>
      <c r="G466" s="57">
        <v>16.911200000000001</v>
      </c>
      <c r="H466" s="57">
        <v>252.0942</v>
      </c>
      <c r="I466" s="57">
        <v>250.07859999999999</v>
      </c>
      <c r="J466" s="57">
        <v>253.09739999999999</v>
      </c>
      <c r="K466" s="57">
        <v>248.06290000000001</v>
      </c>
      <c r="L466" s="75">
        <v>0</v>
      </c>
      <c r="M466" s="75" t="s">
        <v>1</v>
      </c>
    </row>
    <row r="467" spans="1:13" x14ac:dyDescent="0.2">
      <c r="A467" s="54">
        <v>466</v>
      </c>
      <c r="B467" s="57">
        <v>383</v>
      </c>
      <c r="C467" s="57" t="s">
        <v>2116</v>
      </c>
      <c r="D467" s="59" t="s">
        <v>2117</v>
      </c>
      <c r="E467" s="57" t="s">
        <v>917</v>
      </c>
      <c r="F467" s="57">
        <v>284.99590000000001</v>
      </c>
      <c r="G467" s="57">
        <v>7.2455999999999996</v>
      </c>
      <c r="H467" s="57">
        <v>284.99529999999999</v>
      </c>
      <c r="I467" s="57">
        <v>212.0027</v>
      </c>
      <c r="J467" s="57">
        <v>178.04150000000001</v>
      </c>
      <c r="K467" s="57">
        <v>213.99969999999999</v>
      </c>
      <c r="L467" s="75" t="s">
        <v>916</v>
      </c>
      <c r="M467" s="75" t="s">
        <v>916</v>
      </c>
    </row>
    <row r="468" spans="1:13" x14ac:dyDescent="0.2">
      <c r="A468" s="54">
        <v>467</v>
      </c>
      <c r="B468" s="57">
        <v>384</v>
      </c>
      <c r="C468" s="57" t="s">
        <v>2005</v>
      </c>
      <c r="D468" s="59" t="s">
        <v>2006</v>
      </c>
      <c r="E468" s="57" t="s">
        <v>895</v>
      </c>
      <c r="F468" s="57">
        <v>255.1026</v>
      </c>
      <c r="G468" s="57">
        <v>16.728100000000001</v>
      </c>
      <c r="H468" s="57">
        <v>252.09360000000001</v>
      </c>
      <c r="I468" s="57">
        <v>256.12470000000002</v>
      </c>
      <c r="J468" s="57">
        <v>253.0968</v>
      </c>
      <c r="K468" s="57">
        <v>255.10249999999999</v>
      </c>
      <c r="L468" s="75" t="s">
        <v>894</v>
      </c>
      <c r="M468" s="75" t="s">
        <v>894</v>
      </c>
    </row>
    <row r="469" spans="1:13" x14ac:dyDescent="0.2">
      <c r="A469" s="54">
        <v>468</v>
      </c>
      <c r="B469" s="57">
        <v>385</v>
      </c>
      <c r="C469" s="57" t="s">
        <v>2368</v>
      </c>
      <c r="D469" s="59" t="s">
        <v>2369</v>
      </c>
      <c r="E469" s="57" t="s">
        <v>2370</v>
      </c>
      <c r="F469" s="57">
        <v>360.99650000000003</v>
      </c>
      <c r="G469" s="57">
        <v>10.486000000000001</v>
      </c>
      <c r="H469" s="57">
        <v>360.93529999999998</v>
      </c>
      <c r="I469" s="57">
        <v>363.94060000000002</v>
      </c>
      <c r="J469" s="57">
        <v>365.93770000000001</v>
      </c>
      <c r="K469" s="57">
        <v>366.9271</v>
      </c>
      <c r="L469" s="75" t="s">
        <v>3478</v>
      </c>
      <c r="M469" s="75" t="s">
        <v>3478</v>
      </c>
    </row>
    <row r="470" spans="1:13" x14ac:dyDescent="0.2">
      <c r="A470" s="54">
        <v>469</v>
      </c>
      <c r="B470" s="57">
        <v>386</v>
      </c>
      <c r="C470" s="57" t="s">
        <v>2989</v>
      </c>
      <c r="D470" s="59" t="s">
        <v>2990</v>
      </c>
      <c r="E470" s="57" t="s">
        <v>2991</v>
      </c>
      <c r="F470" s="57">
        <v>441.99689999999998</v>
      </c>
      <c r="G470" s="57">
        <v>20.6953</v>
      </c>
      <c r="H470" s="57">
        <v>198.90639999999999</v>
      </c>
      <c r="I470" s="57">
        <v>435.98910000000001</v>
      </c>
      <c r="J470" s="57">
        <v>444.78460000000001</v>
      </c>
      <c r="K470" s="57">
        <v>436.94839999999999</v>
      </c>
      <c r="L470" s="75" t="s">
        <v>3511</v>
      </c>
      <c r="M470" s="75" t="s">
        <v>3511</v>
      </c>
    </row>
    <row r="471" spans="1:13" x14ac:dyDescent="0.2">
      <c r="A471" s="54">
        <v>470</v>
      </c>
      <c r="B471" s="57">
        <v>387</v>
      </c>
      <c r="C471" s="57" t="s">
        <v>2220</v>
      </c>
      <c r="D471" s="59" t="s">
        <v>3277</v>
      </c>
      <c r="E471" s="57" t="s">
        <v>606</v>
      </c>
      <c r="F471" s="57">
        <v>338.20929999999998</v>
      </c>
      <c r="G471" s="57">
        <v>17.8492</v>
      </c>
      <c r="H471" s="57">
        <v>176.15600000000001</v>
      </c>
      <c r="I471" s="57">
        <v>177.15940000000001</v>
      </c>
      <c r="J471" s="57">
        <v>149.13249999999999</v>
      </c>
      <c r="K471" s="57">
        <v>178.16730000000001</v>
      </c>
      <c r="L471" s="75" t="s">
        <v>605</v>
      </c>
      <c r="M471" s="75" t="s">
        <v>605</v>
      </c>
    </row>
    <row r="472" spans="1:13" x14ac:dyDescent="0.2">
      <c r="A472" s="54">
        <v>471</v>
      </c>
      <c r="B472" s="57">
        <v>388</v>
      </c>
      <c r="C472" s="57" t="s">
        <v>2325</v>
      </c>
      <c r="D472" s="59" t="s">
        <v>3324</v>
      </c>
      <c r="E472" s="57" t="s">
        <v>530</v>
      </c>
      <c r="F472" s="57">
        <v>184.012</v>
      </c>
      <c r="G472" s="57">
        <v>8.1974</v>
      </c>
      <c r="H472" s="57">
        <v>183.01349999999999</v>
      </c>
      <c r="I472" s="57">
        <v>154.00540000000001</v>
      </c>
      <c r="J472" s="57">
        <v>155.01840000000001</v>
      </c>
      <c r="K472" s="57">
        <v>168.0061</v>
      </c>
      <c r="L472" s="75" t="s">
        <v>3616</v>
      </c>
      <c r="M472" s="75" t="s">
        <v>3616</v>
      </c>
    </row>
    <row r="473" spans="1:13" x14ac:dyDescent="0.2">
      <c r="A473" s="54">
        <v>472</v>
      </c>
      <c r="B473" s="57" t="s">
        <v>1</v>
      </c>
      <c r="C473" s="57" t="s">
        <v>2933</v>
      </c>
      <c r="D473" s="59" t="s">
        <v>1</v>
      </c>
      <c r="E473" s="57" t="s">
        <v>1</v>
      </c>
      <c r="F473" s="57" t="s">
        <v>1</v>
      </c>
      <c r="G473" s="57">
        <v>5.0246000000000004</v>
      </c>
      <c r="H473" s="57">
        <v>184.01150000000001</v>
      </c>
      <c r="I473" s="57">
        <v>185.01480000000001</v>
      </c>
      <c r="J473" s="57">
        <v>186.0155</v>
      </c>
      <c r="K473" s="57">
        <v>187.01910000000001</v>
      </c>
      <c r="L473" s="75">
        <v>0</v>
      </c>
      <c r="M473" s="75" t="s">
        <v>1</v>
      </c>
    </row>
    <row r="474" spans="1:13" x14ac:dyDescent="0.2">
      <c r="A474" s="54">
        <v>473</v>
      </c>
      <c r="B474" s="57">
        <v>389</v>
      </c>
      <c r="C474" s="57" t="s">
        <v>2371</v>
      </c>
      <c r="D474" s="59" t="s">
        <v>2372</v>
      </c>
      <c r="E474" s="57" t="s">
        <v>2373</v>
      </c>
      <c r="F474" s="57">
        <v>189.959</v>
      </c>
      <c r="G474" s="57">
        <v>3.8599000000000001</v>
      </c>
      <c r="H474" s="57">
        <v>189.9589</v>
      </c>
      <c r="I474" s="57">
        <v>186.95859999999999</v>
      </c>
      <c r="J474" s="57">
        <v>188.9556</v>
      </c>
      <c r="K474" s="57">
        <v>160.96080000000001</v>
      </c>
      <c r="L474" s="75" t="s">
        <v>3468</v>
      </c>
      <c r="M474" s="75" t="s">
        <v>3468</v>
      </c>
    </row>
    <row r="475" spans="1:13" x14ac:dyDescent="0.2">
      <c r="A475" s="54">
        <v>474</v>
      </c>
      <c r="B475" s="57">
        <v>390</v>
      </c>
      <c r="C475" s="57" t="s">
        <v>2127</v>
      </c>
      <c r="D475" s="59" t="s">
        <v>2128</v>
      </c>
      <c r="E475" s="57" t="s">
        <v>2129</v>
      </c>
      <c r="F475" s="57">
        <v>324.03199999999998</v>
      </c>
      <c r="G475" s="57">
        <v>11.446400000000001</v>
      </c>
      <c r="H475" s="57">
        <v>324.03339999999997</v>
      </c>
      <c r="I475" s="57">
        <v>322.02809999999999</v>
      </c>
      <c r="J475" s="57">
        <v>323.03140000000002</v>
      </c>
      <c r="K475" s="57">
        <v>325.02730000000003</v>
      </c>
      <c r="L475" s="75" t="s">
        <v>3447</v>
      </c>
      <c r="M475" s="75" t="s">
        <v>3447</v>
      </c>
    </row>
    <row r="476" spans="1:13" x14ac:dyDescent="0.2">
      <c r="A476" s="54">
        <v>475</v>
      </c>
      <c r="B476" s="57">
        <v>391</v>
      </c>
      <c r="C476" s="57" t="s">
        <v>1738</v>
      </c>
      <c r="D476" s="59" t="s">
        <v>1890</v>
      </c>
      <c r="E476" s="57" t="s">
        <v>1739</v>
      </c>
      <c r="F476" s="57">
        <v>405.7978</v>
      </c>
      <c r="G476" s="57">
        <v>10.4476</v>
      </c>
      <c r="H476" s="57">
        <v>405.80459999999999</v>
      </c>
      <c r="I476" s="57">
        <v>407.80029999999999</v>
      </c>
      <c r="J476" s="57">
        <v>403.80470000000003</v>
      </c>
      <c r="K476" s="57">
        <v>406.80579999999998</v>
      </c>
      <c r="L476" s="75" t="s">
        <v>3499</v>
      </c>
      <c r="M476" s="75" t="s">
        <v>3499</v>
      </c>
    </row>
    <row r="477" spans="1:13" x14ac:dyDescent="0.2">
      <c r="A477" s="54">
        <v>476</v>
      </c>
      <c r="B477" s="57" t="s">
        <v>1</v>
      </c>
      <c r="C477" s="57" t="s">
        <v>1889</v>
      </c>
      <c r="D477" s="59" t="s">
        <v>1</v>
      </c>
      <c r="E477" s="57" t="s">
        <v>1</v>
      </c>
      <c r="F477" s="57" t="s">
        <v>1</v>
      </c>
      <c r="G477" s="57">
        <v>9.1999999999999993</v>
      </c>
      <c r="H477" s="57">
        <v>405.79689999999999</v>
      </c>
      <c r="I477" s="57">
        <v>372.82549999999998</v>
      </c>
      <c r="J477" s="57">
        <v>374.82260000000002</v>
      </c>
      <c r="K477" s="57">
        <v>376.81970000000001</v>
      </c>
      <c r="L477" s="75">
        <v>0</v>
      </c>
      <c r="M477" s="75" t="s">
        <v>1</v>
      </c>
    </row>
    <row r="478" spans="1:13" x14ac:dyDescent="0.2">
      <c r="A478" s="54">
        <v>477</v>
      </c>
      <c r="B478" s="57">
        <v>392</v>
      </c>
      <c r="C478" s="57" t="s">
        <v>1770</v>
      </c>
      <c r="D478" s="59" t="s">
        <v>3155</v>
      </c>
      <c r="E478" s="57" t="s">
        <v>735</v>
      </c>
      <c r="F478" s="57">
        <v>439.75880000000001</v>
      </c>
      <c r="G478" s="57">
        <v>9.5273000000000003</v>
      </c>
      <c r="H478" s="57">
        <v>408.7842</v>
      </c>
      <c r="I478" s="57">
        <v>406.78730000000002</v>
      </c>
      <c r="J478" s="57">
        <v>410.78120000000001</v>
      </c>
      <c r="K478" s="57">
        <v>404.7901</v>
      </c>
      <c r="L478" s="75" t="s">
        <v>734</v>
      </c>
      <c r="M478" s="75" t="s">
        <v>734</v>
      </c>
    </row>
    <row r="479" spans="1:13" x14ac:dyDescent="0.2">
      <c r="A479" s="54">
        <v>478</v>
      </c>
      <c r="B479" s="57" t="s">
        <v>1</v>
      </c>
      <c r="C479" s="57" t="s">
        <v>1933</v>
      </c>
      <c r="D479" s="59" t="s">
        <v>1</v>
      </c>
      <c r="E479" s="57" t="s">
        <v>1</v>
      </c>
      <c r="F479" s="57" t="s">
        <v>1</v>
      </c>
      <c r="G479" s="57">
        <v>9.5334000000000003</v>
      </c>
      <c r="H479" s="57">
        <v>439.75790000000001</v>
      </c>
      <c r="I479" s="57">
        <v>408.7842</v>
      </c>
      <c r="J479" s="57">
        <v>406.78730000000002</v>
      </c>
      <c r="K479" s="57">
        <v>410.78120000000001</v>
      </c>
      <c r="L479" s="75">
        <v>0</v>
      </c>
      <c r="M479" s="75" t="s">
        <v>1</v>
      </c>
    </row>
    <row r="480" spans="1:13" x14ac:dyDescent="0.2">
      <c r="A480" s="54">
        <v>479</v>
      </c>
      <c r="B480" s="57">
        <v>393</v>
      </c>
      <c r="C480" s="57" t="s">
        <v>1740</v>
      </c>
      <c r="D480" s="59" t="s">
        <v>1892</v>
      </c>
      <c r="E480" s="57" t="s">
        <v>1741</v>
      </c>
      <c r="F480" s="57">
        <v>405.7978</v>
      </c>
      <c r="G480" s="57">
        <v>10.9192</v>
      </c>
      <c r="H480" s="57">
        <v>405.80459999999999</v>
      </c>
      <c r="I480" s="57">
        <v>407.80029999999999</v>
      </c>
      <c r="J480" s="57">
        <v>403.80470000000003</v>
      </c>
      <c r="K480" s="57">
        <v>406.80579999999998</v>
      </c>
      <c r="L480" s="75" t="s">
        <v>3499</v>
      </c>
      <c r="M480" s="75" t="s">
        <v>3499</v>
      </c>
    </row>
    <row r="481" spans="1:13" x14ac:dyDescent="0.2">
      <c r="A481" s="54">
        <v>480</v>
      </c>
      <c r="B481" s="57" t="s">
        <v>1</v>
      </c>
      <c r="C481" s="57" t="s">
        <v>1891</v>
      </c>
      <c r="D481" s="59" t="s">
        <v>1</v>
      </c>
      <c r="E481" s="57" t="s">
        <v>1</v>
      </c>
      <c r="F481" s="57" t="s">
        <v>1</v>
      </c>
      <c r="G481" s="57">
        <v>9.4571000000000005</v>
      </c>
      <c r="H481" s="57">
        <v>405.79689999999999</v>
      </c>
      <c r="I481" s="57">
        <v>372.82549999999998</v>
      </c>
      <c r="J481" s="57">
        <v>374.82260000000002</v>
      </c>
      <c r="K481" s="57">
        <v>376.81970000000001</v>
      </c>
      <c r="L481" s="75">
        <v>0</v>
      </c>
      <c r="M481" s="75" t="s">
        <v>1</v>
      </c>
    </row>
    <row r="482" spans="1:13" x14ac:dyDescent="0.2">
      <c r="A482" s="54">
        <v>481</v>
      </c>
      <c r="B482" s="57">
        <v>394</v>
      </c>
      <c r="C482" s="57" t="s">
        <v>2388</v>
      </c>
      <c r="D482" s="59" t="s">
        <v>3325</v>
      </c>
      <c r="E482" s="57" t="s">
        <v>542</v>
      </c>
      <c r="F482" s="57">
        <v>140.024</v>
      </c>
      <c r="G482" s="57">
        <v>11.4396</v>
      </c>
      <c r="H482" s="57">
        <v>140.02510000000001</v>
      </c>
      <c r="I482" s="57">
        <v>141.0324</v>
      </c>
      <c r="J482" s="57">
        <v>124.0343</v>
      </c>
      <c r="K482" s="57">
        <v>123.0206</v>
      </c>
      <c r="L482" s="75" t="s">
        <v>541</v>
      </c>
      <c r="M482" s="75" t="s">
        <v>541</v>
      </c>
    </row>
    <row r="483" spans="1:13" x14ac:dyDescent="0.2">
      <c r="A483" s="54">
        <v>482</v>
      </c>
      <c r="B483" s="57">
        <v>395</v>
      </c>
      <c r="C483" s="57" t="s">
        <v>1792</v>
      </c>
      <c r="D483" s="59" t="s">
        <v>1793</v>
      </c>
      <c r="E483" s="57" t="s">
        <v>1794</v>
      </c>
      <c r="F483" s="57">
        <v>303.90159999999997</v>
      </c>
      <c r="G483" s="57">
        <v>11.7895</v>
      </c>
      <c r="H483" s="57">
        <v>305.89859999999999</v>
      </c>
      <c r="I483" s="57">
        <v>303.90170000000001</v>
      </c>
      <c r="J483" s="57">
        <v>307.8956</v>
      </c>
      <c r="K483" s="57">
        <v>306.90170000000001</v>
      </c>
      <c r="L483" s="75" t="s">
        <v>3410</v>
      </c>
      <c r="M483" s="75" t="s">
        <v>3410</v>
      </c>
    </row>
    <row r="484" spans="1:13" x14ac:dyDescent="0.2">
      <c r="A484" s="54">
        <v>483</v>
      </c>
      <c r="B484" s="57">
        <v>396</v>
      </c>
      <c r="C484" s="57" t="s">
        <v>2024</v>
      </c>
      <c r="D484" s="59" t="s">
        <v>2025</v>
      </c>
      <c r="E484" s="57" t="s">
        <v>893</v>
      </c>
      <c r="F484" s="57">
        <v>283.13389999999998</v>
      </c>
      <c r="G484" s="57">
        <v>7.2838000000000003</v>
      </c>
      <c r="H484" s="57">
        <v>162.1277</v>
      </c>
      <c r="I484" s="57">
        <v>238.0994</v>
      </c>
      <c r="J484" s="57">
        <v>240.09700000000001</v>
      </c>
      <c r="K484" s="57">
        <v>163.06270000000001</v>
      </c>
      <c r="L484" s="75" t="s">
        <v>892</v>
      </c>
      <c r="M484" s="75" t="s">
        <v>892</v>
      </c>
    </row>
    <row r="485" spans="1:13" x14ac:dyDescent="0.2">
      <c r="A485" s="54">
        <v>484</v>
      </c>
      <c r="B485" s="57">
        <v>397</v>
      </c>
      <c r="C485" s="57" t="s">
        <v>2034</v>
      </c>
      <c r="D485" s="59" t="s">
        <v>1257</v>
      </c>
      <c r="E485" s="57" t="s">
        <v>889</v>
      </c>
      <c r="F485" s="57">
        <v>311.16520000000003</v>
      </c>
      <c r="G485" s="57">
        <v>18.445799999999998</v>
      </c>
      <c r="H485" s="57">
        <v>162.0676</v>
      </c>
      <c r="I485" s="57">
        <v>177.09110000000001</v>
      </c>
      <c r="J485" s="57">
        <v>176.0787</v>
      </c>
      <c r="K485" s="57">
        <v>238.22919999999999</v>
      </c>
      <c r="L485" s="75" t="s">
        <v>888</v>
      </c>
      <c r="M485" s="75" t="s">
        <v>888</v>
      </c>
    </row>
    <row r="486" spans="1:13" x14ac:dyDescent="0.2">
      <c r="A486" s="54">
        <v>485</v>
      </c>
      <c r="B486" s="57">
        <v>398</v>
      </c>
      <c r="C486" s="57" t="s">
        <v>3044</v>
      </c>
      <c r="D486" s="59" t="s">
        <v>2760</v>
      </c>
      <c r="E486" s="57" t="s">
        <v>813</v>
      </c>
      <c r="F486" s="57">
        <v>252.15860000000001</v>
      </c>
      <c r="G486" s="57">
        <v>12.0878</v>
      </c>
      <c r="H486" s="57">
        <v>252.1583</v>
      </c>
      <c r="I486" s="57">
        <v>171.0874</v>
      </c>
      <c r="J486" s="57">
        <v>128.08170000000001</v>
      </c>
      <c r="K486" s="57">
        <v>172.09059999999999</v>
      </c>
      <c r="L486" s="75" t="s">
        <v>812</v>
      </c>
      <c r="M486" s="75" t="s">
        <v>812</v>
      </c>
    </row>
    <row r="487" spans="1:13" x14ac:dyDescent="0.2">
      <c r="A487" s="54">
        <v>486</v>
      </c>
      <c r="B487" s="57" t="s">
        <v>1</v>
      </c>
      <c r="C487" s="57" t="s">
        <v>2759</v>
      </c>
      <c r="D487" s="59" t="s">
        <v>1</v>
      </c>
      <c r="E487" s="57" t="s">
        <v>1</v>
      </c>
      <c r="F487" s="57" t="s">
        <v>1</v>
      </c>
      <c r="G487" s="57">
        <v>19.5229</v>
      </c>
      <c r="H487" s="57">
        <v>171.11689999999999</v>
      </c>
      <c r="I487" s="57">
        <v>172.12479999999999</v>
      </c>
      <c r="J487" s="57">
        <v>169.10120000000001</v>
      </c>
      <c r="K487" s="57">
        <v>252.1611</v>
      </c>
      <c r="L487" s="75">
        <v>0</v>
      </c>
      <c r="M487" s="75" t="s">
        <v>1</v>
      </c>
    </row>
    <row r="488" spans="1:13" x14ac:dyDescent="0.2">
      <c r="A488" s="54">
        <v>487</v>
      </c>
      <c r="B488" s="57">
        <v>399</v>
      </c>
      <c r="C488" s="57" t="s">
        <v>2404</v>
      </c>
      <c r="D488" s="59" t="s">
        <v>3326</v>
      </c>
      <c r="E488" s="57" t="s">
        <v>545</v>
      </c>
      <c r="F488" s="57">
        <v>224.11799999999999</v>
      </c>
      <c r="G488" s="57">
        <v>8.7189999999999994</v>
      </c>
      <c r="H488" s="57">
        <v>224.1182</v>
      </c>
      <c r="I488" s="57">
        <v>225.12520000000001</v>
      </c>
      <c r="J488" s="57">
        <v>208.08699999999999</v>
      </c>
      <c r="K488" s="57">
        <v>222.1028</v>
      </c>
      <c r="L488" s="75" t="s">
        <v>316</v>
      </c>
      <c r="M488" s="75" t="s">
        <v>316</v>
      </c>
    </row>
    <row r="489" spans="1:13" x14ac:dyDescent="0.2">
      <c r="A489" s="54">
        <v>488</v>
      </c>
      <c r="B489" s="57">
        <v>400</v>
      </c>
      <c r="C489" s="57" t="s">
        <v>2392</v>
      </c>
      <c r="D489" s="59" t="s">
        <v>3327</v>
      </c>
      <c r="E489" s="57" t="s">
        <v>317</v>
      </c>
      <c r="F489" s="57">
        <v>224.11770000000001</v>
      </c>
      <c r="G489" s="57">
        <v>8.7189999999999994</v>
      </c>
      <c r="H489" s="57">
        <v>224.1182</v>
      </c>
      <c r="I489" s="57">
        <v>225.12520000000001</v>
      </c>
      <c r="J489" s="57">
        <v>226.1294</v>
      </c>
      <c r="K489" s="57">
        <v>222.1027</v>
      </c>
      <c r="L489" s="75" t="s">
        <v>316</v>
      </c>
      <c r="M489" s="75" t="s">
        <v>316</v>
      </c>
    </row>
    <row r="490" spans="1:13" x14ac:dyDescent="0.2">
      <c r="A490" s="54">
        <v>489</v>
      </c>
      <c r="B490" s="57">
        <v>401</v>
      </c>
      <c r="C490" s="57" t="s">
        <v>2401</v>
      </c>
      <c r="D490" s="59" t="s">
        <v>2402</v>
      </c>
      <c r="E490" s="57" t="s">
        <v>2403</v>
      </c>
      <c r="F490" s="57">
        <v>258.10210000000001</v>
      </c>
      <c r="G490" s="57">
        <v>8.4267000000000003</v>
      </c>
      <c r="H490" s="57">
        <v>261.04579999999999</v>
      </c>
      <c r="I490" s="57">
        <v>260.06180000000001</v>
      </c>
      <c r="J490" s="57">
        <v>237.08009999999999</v>
      </c>
      <c r="K490" s="57">
        <v>262.05329999999998</v>
      </c>
      <c r="L490" s="75" t="s">
        <v>3518</v>
      </c>
      <c r="M490" s="75" t="s">
        <v>3518</v>
      </c>
    </row>
    <row r="491" spans="1:13" x14ac:dyDescent="0.2">
      <c r="A491" s="54">
        <v>490</v>
      </c>
      <c r="B491" s="57">
        <v>402</v>
      </c>
      <c r="C491" s="57" t="s">
        <v>3090</v>
      </c>
      <c r="D491" s="59" t="s">
        <v>3328</v>
      </c>
      <c r="E491" s="57" t="s">
        <v>623</v>
      </c>
      <c r="F491" s="57">
        <v>419.12880000000001</v>
      </c>
      <c r="G491" s="57">
        <v>18.442699999999999</v>
      </c>
      <c r="H491" s="57">
        <v>419.12849999999997</v>
      </c>
      <c r="I491" s="57">
        <v>125.01519999999999</v>
      </c>
      <c r="J491" s="57">
        <v>225.07859999999999</v>
      </c>
      <c r="K491" s="57">
        <v>181.06469999999999</v>
      </c>
      <c r="L491" s="75" t="s">
        <v>622</v>
      </c>
      <c r="M491" s="75" t="s">
        <v>622</v>
      </c>
    </row>
    <row r="492" spans="1:13" x14ac:dyDescent="0.2">
      <c r="A492" s="54">
        <v>491</v>
      </c>
      <c r="B492" s="57" t="s">
        <v>1</v>
      </c>
      <c r="C492" s="57" t="s">
        <v>3088</v>
      </c>
      <c r="D492" s="59" t="s">
        <v>1</v>
      </c>
      <c r="E492" s="57" t="s">
        <v>1</v>
      </c>
      <c r="F492" s="57" t="s">
        <v>1</v>
      </c>
      <c r="G492" s="57">
        <v>18.2454</v>
      </c>
      <c r="H492" s="57">
        <v>419.12869999999998</v>
      </c>
      <c r="I492" s="57">
        <v>125.01519999999999</v>
      </c>
      <c r="J492" s="57">
        <v>225.07859999999999</v>
      </c>
      <c r="K492" s="57">
        <v>181.06469999999999</v>
      </c>
      <c r="L492" s="75">
        <v>0</v>
      </c>
      <c r="M492" s="75" t="s">
        <v>1</v>
      </c>
    </row>
    <row r="493" spans="1:13" x14ac:dyDescent="0.2">
      <c r="A493" s="54">
        <v>492</v>
      </c>
      <c r="B493" s="57">
        <v>403</v>
      </c>
      <c r="C493" s="57" t="s">
        <v>1557</v>
      </c>
      <c r="D493" s="59" t="s">
        <v>1558</v>
      </c>
      <c r="E493" s="57" t="s">
        <v>288</v>
      </c>
      <c r="F493" s="57">
        <v>357.84440000000001</v>
      </c>
      <c r="G493" s="57">
        <v>10.666499999999999</v>
      </c>
      <c r="H493" s="57">
        <v>359.84070000000003</v>
      </c>
      <c r="I493" s="57">
        <v>361.83780000000002</v>
      </c>
      <c r="J493" s="57">
        <v>289.90339999999998</v>
      </c>
      <c r="K493" s="57">
        <v>287.90640000000002</v>
      </c>
      <c r="L493" s="75" t="s">
        <v>282</v>
      </c>
      <c r="M493" s="75" t="s">
        <v>282</v>
      </c>
    </row>
    <row r="494" spans="1:13" x14ac:dyDescent="0.2">
      <c r="A494" s="54">
        <v>493</v>
      </c>
      <c r="B494" s="57">
        <v>404</v>
      </c>
      <c r="C494" s="57" t="s">
        <v>3081</v>
      </c>
      <c r="D494" s="59" t="s">
        <v>3329</v>
      </c>
      <c r="E494" s="57" t="s">
        <v>654</v>
      </c>
      <c r="F494" s="57">
        <v>415.07420000000002</v>
      </c>
      <c r="G494" s="57">
        <v>16.889700000000001</v>
      </c>
      <c r="H494" s="57">
        <v>163.00749999999999</v>
      </c>
      <c r="I494" s="57">
        <v>165.00470000000001</v>
      </c>
      <c r="J494" s="57">
        <v>181.06479999999999</v>
      </c>
      <c r="K494" s="57">
        <v>180.0806</v>
      </c>
      <c r="L494" s="75" t="s">
        <v>653</v>
      </c>
      <c r="M494" s="75" t="s">
        <v>653</v>
      </c>
    </row>
    <row r="495" spans="1:13" x14ac:dyDescent="0.2">
      <c r="A495" s="54">
        <v>494</v>
      </c>
      <c r="B495" s="57" t="s">
        <v>1</v>
      </c>
      <c r="C495" s="57" t="s">
        <v>3083</v>
      </c>
      <c r="D495" s="59" t="s">
        <v>1</v>
      </c>
      <c r="E495" s="57" t="s">
        <v>1</v>
      </c>
      <c r="F495" s="57" t="s">
        <v>1</v>
      </c>
      <c r="G495" s="57">
        <v>17.068300000000001</v>
      </c>
      <c r="H495" s="57">
        <v>163.00749999999999</v>
      </c>
      <c r="I495" s="57">
        <v>165.00470000000001</v>
      </c>
      <c r="J495" s="57">
        <v>181.06479999999999</v>
      </c>
      <c r="K495" s="57">
        <v>180.0806</v>
      </c>
      <c r="L495" s="75">
        <v>0</v>
      </c>
      <c r="M495" s="75" t="s">
        <v>1</v>
      </c>
    </row>
    <row r="496" spans="1:13" x14ac:dyDescent="0.2">
      <c r="A496" s="54">
        <v>495</v>
      </c>
      <c r="B496" s="57" t="s">
        <v>1</v>
      </c>
      <c r="C496" s="57" t="s">
        <v>3084</v>
      </c>
      <c r="D496" s="59" t="s">
        <v>1</v>
      </c>
      <c r="E496" s="57" t="s">
        <v>1</v>
      </c>
      <c r="F496" s="57" t="s">
        <v>1</v>
      </c>
      <c r="G496" s="57">
        <v>17.1267</v>
      </c>
      <c r="H496" s="57">
        <v>163.00749999999999</v>
      </c>
      <c r="I496" s="57">
        <v>165.00470000000001</v>
      </c>
      <c r="J496" s="57">
        <v>181.06479999999999</v>
      </c>
      <c r="K496" s="57">
        <v>180.0806</v>
      </c>
      <c r="L496" s="75">
        <v>0</v>
      </c>
      <c r="M496" s="75" t="s">
        <v>1</v>
      </c>
    </row>
    <row r="497" spans="1:13" x14ac:dyDescent="0.2">
      <c r="A497" s="54">
        <v>496</v>
      </c>
      <c r="B497" s="57" t="s">
        <v>1</v>
      </c>
      <c r="C497" s="57" t="s">
        <v>3085</v>
      </c>
      <c r="D497" s="59" t="s">
        <v>1</v>
      </c>
      <c r="E497" s="57" t="s">
        <v>1</v>
      </c>
      <c r="F497" s="57" t="s">
        <v>1</v>
      </c>
      <c r="G497" s="57">
        <v>17.202000000000002</v>
      </c>
      <c r="H497" s="57">
        <v>163.00749999999999</v>
      </c>
      <c r="I497" s="57">
        <v>165.00470000000001</v>
      </c>
      <c r="J497" s="57">
        <v>181.06479999999999</v>
      </c>
      <c r="K497" s="57">
        <v>180.0806</v>
      </c>
      <c r="L497" s="75">
        <v>0</v>
      </c>
      <c r="M497" s="75" t="s">
        <v>1</v>
      </c>
    </row>
    <row r="498" spans="1:13" x14ac:dyDescent="0.2">
      <c r="A498" s="54">
        <v>497</v>
      </c>
      <c r="B498" s="57">
        <v>405</v>
      </c>
      <c r="C498" s="57" t="s">
        <v>1618</v>
      </c>
      <c r="D498" s="59" t="s">
        <v>1619</v>
      </c>
      <c r="E498" s="57" t="s">
        <v>1620</v>
      </c>
      <c r="F498" s="57">
        <v>323.88339999999999</v>
      </c>
      <c r="G498" s="57">
        <v>10.365600000000001</v>
      </c>
      <c r="H498" s="57">
        <v>325.88</v>
      </c>
      <c r="I498" s="57">
        <v>253.9452</v>
      </c>
      <c r="J498" s="57">
        <v>255.94229999999999</v>
      </c>
      <c r="K498" s="57">
        <v>290.91120000000001</v>
      </c>
      <c r="L498" s="75" t="s">
        <v>289</v>
      </c>
      <c r="M498" s="75" t="s">
        <v>289</v>
      </c>
    </row>
    <row r="499" spans="1:13" x14ac:dyDescent="0.2">
      <c r="A499" s="54">
        <v>498</v>
      </c>
      <c r="B499" s="57">
        <v>406</v>
      </c>
      <c r="C499" s="57" t="s">
        <v>1647</v>
      </c>
      <c r="D499" s="59" t="s">
        <v>1648</v>
      </c>
      <c r="E499" s="57" t="s">
        <v>1649</v>
      </c>
      <c r="F499" s="57">
        <v>357.84440000000001</v>
      </c>
      <c r="G499" s="57">
        <v>9.5968999999999998</v>
      </c>
      <c r="H499" s="57">
        <v>359.84100000000001</v>
      </c>
      <c r="I499" s="57">
        <v>289.90339999999998</v>
      </c>
      <c r="J499" s="57">
        <v>361.83789999999999</v>
      </c>
      <c r="K499" s="57">
        <v>287.90629999999999</v>
      </c>
      <c r="L499" s="75" t="s">
        <v>282</v>
      </c>
      <c r="M499" s="75" t="s">
        <v>282</v>
      </c>
    </row>
    <row r="500" spans="1:13" x14ac:dyDescent="0.2">
      <c r="A500" s="54">
        <v>499</v>
      </c>
      <c r="B500" s="57">
        <v>407</v>
      </c>
      <c r="C500" s="57" t="s">
        <v>1673</v>
      </c>
      <c r="D500" s="59" t="s">
        <v>1539</v>
      </c>
      <c r="E500" s="57" t="s">
        <v>293</v>
      </c>
      <c r="F500" s="57">
        <v>391.80549999999999</v>
      </c>
      <c r="G500" s="57">
        <v>12.280200000000001</v>
      </c>
      <c r="H500" s="57">
        <v>393.80180000000001</v>
      </c>
      <c r="I500" s="57">
        <v>395.79880000000003</v>
      </c>
      <c r="J500" s="57">
        <v>323.86419999999998</v>
      </c>
      <c r="K500" s="57">
        <v>325.86130000000003</v>
      </c>
      <c r="L500" s="75" t="s">
        <v>291</v>
      </c>
      <c r="M500" s="75" t="s">
        <v>291</v>
      </c>
    </row>
    <row r="501" spans="1:13" x14ac:dyDescent="0.2">
      <c r="A501" s="54">
        <v>500</v>
      </c>
      <c r="B501" s="57">
        <v>408</v>
      </c>
      <c r="C501" s="57" t="s">
        <v>1670</v>
      </c>
      <c r="D501" s="59" t="s">
        <v>1671</v>
      </c>
      <c r="E501" s="57" t="s">
        <v>1672</v>
      </c>
      <c r="F501" s="57">
        <v>391.80549999999999</v>
      </c>
      <c r="G501" s="57">
        <v>12.422800000000001</v>
      </c>
      <c r="H501" s="57">
        <v>393.80200000000002</v>
      </c>
      <c r="I501" s="57">
        <v>395.7989</v>
      </c>
      <c r="J501" s="57">
        <v>323.86419999999998</v>
      </c>
      <c r="K501" s="57">
        <v>397.79590000000002</v>
      </c>
      <c r="L501" s="75" t="s">
        <v>291</v>
      </c>
      <c r="M501" s="75" t="s">
        <v>291</v>
      </c>
    </row>
    <row r="502" spans="1:13" x14ac:dyDescent="0.2">
      <c r="A502" s="54">
        <v>501</v>
      </c>
      <c r="B502" s="57">
        <v>409</v>
      </c>
      <c r="C502" s="57" t="s">
        <v>1666</v>
      </c>
      <c r="D502" s="59" t="s">
        <v>1667</v>
      </c>
      <c r="E502" s="57" t="s">
        <v>1668</v>
      </c>
      <c r="F502" s="57">
        <v>391.80549999999999</v>
      </c>
      <c r="G502" s="57">
        <v>12.971</v>
      </c>
      <c r="H502" s="57">
        <v>393.80189999999999</v>
      </c>
      <c r="I502" s="57">
        <v>395.79899999999998</v>
      </c>
      <c r="J502" s="57">
        <v>323.86439999999999</v>
      </c>
      <c r="K502" s="57">
        <v>358.8331</v>
      </c>
      <c r="L502" s="75" t="s">
        <v>291</v>
      </c>
      <c r="M502" s="75" t="s">
        <v>291</v>
      </c>
    </row>
    <row r="503" spans="1:13" x14ac:dyDescent="0.2">
      <c r="A503" s="54">
        <v>502</v>
      </c>
      <c r="B503" s="57">
        <v>410</v>
      </c>
      <c r="C503" s="57" t="s">
        <v>1663</v>
      </c>
      <c r="D503" s="59" t="s">
        <v>1664</v>
      </c>
      <c r="E503" s="57" t="s">
        <v>1665</v>
      </c>
      <c r="F503" s="57">
        <v>391.80549999999999</v>
      </c>
      <c r="G503" s="57">
        <v>13.098000000000001</v>
      </c>
      <c r="H503" s="57">
        <v>393.80200000000002</v>
      </c>
      <c r="I503" s="57">
        <v>395.7989</v>
      </c>
      <c r="J503" s="57">
        <v>323.86419999999998</v>
      </c>
      <c r="K503" s="57">
        <v>325.86130000000003</v>
      </c>
      <c r="L503" s="75" t="s">
        <v>291</v>
      </c>
      <c r="M503" s="75" t="s">
        <v>291</v>
      </c>
    </row>
    <row r="504" spans="1:13" x14ac:dyDescent="0.2">
      <c r="A504" s="54">
        <v>503</v>
      </c>
      <c r="B504" s="57">
        <v>411</v>
      </c>
      <c r="C504" s="57" t="s">
        <v>1562</v>
      </c>
      <c r="D504" s="59" t="s">
        <v>1563</v>
      </c>
      <c r="E504" s="57" t="s">
        <v>1564</v>
      </c>
      <c r="F504" s="57">
        <v>357.84440000000001</v>
      </c>
      <c r="G504" s="57">
        <v>12.668799999999999</v>
      </c>
      <c r="H504" s="57">
        <v>359.8408</v>
      </c>
      <c r="I504" s="57">
        <v>361.83780000000002</v>
      </c>
      <c r="J504" s="57">
        <v>393.80180000000001</v>
      </c>
      <c r="K504" s="57">
        <v>395.79880000000003</v>
      </c>
      <c r="L504" s="75" t="s">
        <v>282</v>
      </c>
      <c r="M504" s="75" t="s">
        <v>282</v>
      </c>
    </row>
    <row r="505" spans="1:13" x14ac:dyDescent="0.2">
      <c r="A505" s="54">
        <v>504</v>
      </c>
      <c r="B505" s="57">
        <v>412</v>
      </c>
      <c r="C505" s="57" t="s">
        <v>1565</v>
      </c>
      <c r="D505" s="59" t="s">
        <v>1532</v>
      </c>
      <c r="E505" s="57" t="s">
        <v>295</v>
      </c>
      <c r="F505" s="57">
        <v>391.80549999999999</v>
      </c>
      <c r="G505" s="57">
        <v>13.450699999999999</v>
      </c>
      <c r="H505" s="57">
        <v>393.80200000000002</v>
      </c>
      <c r="I505" s="57">
        <v>395.7989</v>
      </c>
      <c r="J505" s="57">
        <v>323.86419999999998</v>
      </c>
      <c r="K505" s="57">
        <v>325.8612</v>
      </c>
      <c r="L505" s="75" t="s">
        <v>291</v>
      </c>
      <c r="M505" s="75" t="s">
        <v>291</v>
      </c>
    </row>
    <row r="506" spans="1:13" x14ac:dyDescent="0.2">
      <c r="A506" s="54">
        <v>505</v>
      </c>
      <c r="B506" s="57">
        <v>413</v>
      </c>
      <c r="C506" s="57" t="s">
        <v>1681</v>
      </c>
      <c r="D506" s="59" t="s">
        <v>1682</v>
      </c>
      <c r="E506" s="57" t="s">
        <v>1683</v>
      </c>
      <c r="F506" s="57">
        <v>425.76650000000001</v>
      </c>
      <c r="G506" s="57">
        <v>14.5341</v>
      </c>
      <c r="H506" s="57">
        <v>429.75990000000002</v>
      </c>
      <c r="I506" s="57">
        <v>427.7629</v>
      </c>
      <c r="J506" s="57">
        <v>357.8252</v>
      </c>
      <c r="K506" s="57">
        <v>359.82209999999998</v>
      </c>
      <c r="L506" s="75" t="s">
        <v>3509</v>
      </c>
      <c r="M506" s="75" t="s">
        <v>3509</v>
      </c>
    </row>
    <row r="507" spans="1:13" x14ac:dyDescent="0.2">
      <c r="A507" s="54">
        <v>506</v>
      </c>
      <c r="B507" s="57">
        <v>414</v>
      </c>
      <c r="C507" s="57" t="s">
        <v>1572</v>
      </c>
      <c r="D507" s="59" t="s">
        <v>1573</v>
      </c>
      <c r="E507" s="57" t="s">
        <v>1574</v>
      </c>
      <c r="F507" s="57">
        <v>425.76650000000001</v>
      </c>
      <c r="G507" s="57">
        <v>15.410600000000001</v>
      </c>
      <c r="H507" s="57">
        <v>429.75990000000002</v>
      </c>
      <c r="I507" s="57">
        <v>427.76280000000003</v>
      </c>
      <c r="J507" s="57">
        <v>357.8252</v>
      </c>
      <c r="K507" s="57">
        <v>431.7568</v>
      </c>
      <c r="L507" s="75" t="s">
        <v>3509</v>
      </c>
      <c r="M507" s="75" t="s">
        <v>3509</v>
      </c>
    </row>
    <row r="508" spans="1:13" x14ac:dyDescent="0.2">
      <c r="A508" s="54">
        <v>507</v>
      </c>
      <c r="B508" s="57">
        <v>415</v>
      </c>
      <c r="C508" s="57" t="s">
        <v>1690</v>
      </c>
      <c r="D508" s="59" t="s">
        <v>1691</v>
      </c>
      <c r="E508" s="57" t="s">
        <v>1692</v>
      </c>
      <c r="F508" s="57">
        <v>459.72750000000002</v>
      </c>
      <c r="G508" s="57">
        <v>15.3499</v>
      </c>
      <c r="H508" s="57">
        <v>463.72070000000002</v>
      </c>
      <c r="I508" s="57">
        <v>461.72410000000002</v>
      </c>
      <c r="J508" s="57">
        <v>465.71780000000001</v>
      </c>
      <c r="K508" s="57">
        <v>391.78629999999998</v>
      </c>
      <c r="L508" s="75" t="s">
        <v>3538</v>
      </c>
      <c r="M508" s="75" t="s">
        <v>3538</v>
      </c>
    </row>
    <row r="509" spans="1:13" x14ac:dyDescent="0.2">
      <c r="A509" s="54">
        <v>508</v>
      </c>
      <c r="B509" s="57">
        <v>416</v>
      </c>
      <c r="C509" s="57" t="s">
        <v>1678</v>
      </c>
      <c r="D509" s="59" t="s">
        <v>1679</v>
      </c>
      <c r="E509" s="57" t="s">
        <v>1680</v>
      </c>
      <c r="F509" s="57">
        <v>425.76650000000001</v>
      </c>
      <c r="G509" s="57">
        <v>14.706099999999999</v>
      </c>
      <c r="H509" s="57">
        <v>429.76010000000002</v>
      </c>
      <c r="I509" s="57">
        <v>427.76310000000001</v>
      </c>
      <c r="J509" s="57">
        <v>357.8252</v>
      </c>
      <c r="K509" s="57">
        <v>359.82209999999998</v>
      </c>
      <c r="L509" s="75" t="s">
        <v>3509</v>
      </c>
      <c r="M509" s="75" t="s">
        <v>3509</v>
      </c>
    </row>
    <row r="510" spans="1:13" x14ac:dyDescent="0.2">
      <c r="A510" s="54">
        <v>509</v>
      </c>
      <c r="B510" s="57">
        <v>417</v>
      </c>
      <c r="C510" s="57" t="s">
        <v>1974</v>
      </c>
      <c r="D510" s="59" t="s">
        <v>1975</v>
      </c>
      <c r="E510" s="57" t="s">
        <v>1976</v>
      </c>
      <c r="F510" s="57">
        <v>262.863</v>
      </c>
      <c r="G510" s="57">
        <v>6.9779</v>
      </c>
      <c r="H510" s="57">
        <v>262.86329999999998</v>
      </c>
      <c r="I510" s="57">
        <v>264.8605</v>
      </c>
      <c r="J510" s="57">
        <v>266.85750000000002</v>
      </c>
      <c r="K510" s="57">
        <v>268.8546</v>
      </c>
      <c r="L510" s="75" t="s">
        <v>3444</v>
      </c>
      <c r="M510" s="75" t="s">
        <v>3444</v>
      </c>
    </row>
    <row r="511" spans="1:13" x14ac:dyDescent="0.2">
      <c r="A511" s="54">
        <v>510</v>
      </c>
      <c r="B511" s="57">
        <v>418</v>
      </c>
      <c r="C511" s="57" t="s">
        <v>3086</v>
      </c>
      <c r="D511" s="59" t="s">
        <v>3330</v>
      </c>
      <c r="E511" s="57" t="s">
        <v>621</v>
      </c>
      <c r="F511" s="57">
        <v>502.97309999999999</v>
      </c>
      <c r="G511" s="57">
        <v>13.115</v>
      </c>
      <c r="H511" s="57">
        <v>179.06020000000001</v>
      </c>
      <c r="I511" s="57">
        <v>185.0384</v>
      </c>
      <c r="J511" s="57">
        <v>178.07749999999999</v>
      </c>
      <c r="K511" s="57">
        <v>113.0386</v>
      </c>
      <c r="L511" s="75" t="s">
        <v>620</v>
      </c>
      <c r="M511" s="75" t="s">
        <v>620</v>
      </c>
    </row>
    <row r="512" spans="1:13" x14ac:dyDescent="0.2">
      <c r="A512" s="54">
        <v>511</v>
      </c>
      <c r="B512" s="57" t="s">
        <v>1</v>
      </c>
      <c r="C512" s="57" t="s">
        <v>3087</v>
      </c>
      <c r="D512" s="59" t="s">
        <v>1</v>
      </c>
      <c r="E512" s="57" t="s">
        <v>1</v>
      </c>
      <c r="F512" s="57" t="s">
        <v>1</v>
      </c>
      <c r="G512" s="57">
        <v>13.215999999999999</v>
      </c>
      <c r="H512" s="57">
        <v>179.06020000000001</v>
      </c>
      <c r="I512" s="57">
        <v>185.0384</v>
      </c>
      <c r="J512" s="57">
        <v>178.07749999999999</v>
      </c>
      <c r="K512" s="57">
        <v>113.0386</v>
      </c>
      <c r="L512" s="75">
        <v>0</v>
      </c>
      <c r="M512" s="75" t="s">
        <v>1</v>
      </c>
    </row>
    <row r="513" spans="1:13" x14ac:dyDescent="0.2">
      <c r="A513" s="54">
        <v>512</v>
      </c>
      <c r="B513" s="57">
        <v>419</v>
      </c>
      <c r="C513" s="57" t="s">
        <v>1784</v>
      </c>
      <c r="D513" s="59" t="s">
        <v>3556</v>
      </c>
      <c r="E513" s="57" t="s">
        <v>746</v>
      </c>
      <c r="F513" s="57">
        <v>317.95370000000003</v>
      </c>
      <c r="G513" s="57">
        <v>10.167</v>
      </c>
      <c r="H513" s="57">
        <v>235.00790000000001</v>
      </c>
      <c r="I513" s="57">
        <v>237.00489999999999</v>
      </c>
      <c r="J513" s="57">
        <v>165.06970000000001</v>
      </c>
      <c r="K513" s="57">
        <v>199.0309</v>
      </c>
      <c r="L513" s="75" t="s">
        <v>749</v>
      </c>
      <c r="M513" s="76" t="s">
        <v>729</v>
      </c>
    </row>
    <row r="514" spans="1:13" x14ac:dyDescent="0.2">
      <c r="A514" s="54">
        <v>513</v>
      </c>
      <c r="B514" s="57" t="s">
        <v>1</v>
      </c>
      <c r="C514" s="57" t="s">
        <v>1897</v>
      </c>
      <c r="D514" s="59" t="s">
        <v>1</v>
      </c>
      <c r="E514" s="57" t="s">
        <v>1</v>
      </c>
      <c r="F514" s="57" t="s">
        <v>1</v>
      </c>
      <c r="G514" s="57">
        <v>10.169499999999999</v>
      </c>
      <c r="H514" s="57">
        <v>235.00790000000001</v>
      </c>
      <c r="I514" s="57">
        <v>237.00489999999999</v>
      </c>
      <c r="J514" s="57">
        <v>165.06970000000001</v>
      </c>
      <c r="K514" s="57">
        <v>199.0309</v>
      </c>
      <c r="L514" s="75">
        <v>0</v>
      </c>
      <c r="M514" s="75" t="s">
        <v>1</v>
      </c>
    </row>
    <row r="515" spans="1:13" x14ac:dyDescent="0.2">
      <c r="A515" s="54">
        <v>514</v>
      </c>
      <c r="B515" s="57">
        <v>420</v>
      </c>
      <c r="C515" s="57" t="s">
        <v>2309</v>
      </c>
      <c r="D515" s="59" t="s">
        <v>1491</v>
      </c>
      <c r="E515" s="57" t="s">
        <v>466</v>
      </c>
      <c r="F515" s="57">
        <v>278.1096</v>
      </c>
      <c r="G515" s="57">
        <v>19.7667</v>
      </c>
      <c r="H515" s="57">
        <v>278.10890000000001</v>
      </c>
      <c r="I515" s="57">
        <v>276.09390000000002</v>
      </c>
      <c r="J515" s="57">
        <v>279.11259999999999</v>
      </c>
      <c r="K515" s="57">
        <v>274.07830000000001</v>
      </c>
      <c r="L515" s="75" t="s">
        <v>465</v>
      </c>
      <c r="M515" s="75" t="s">
        <v>465</v>
      </c>
    </row>
    <row r="516" spans="1:13" x14ac:dyDescent="0.2">
      <c r="A516" s="54">
        <v>515</v>
      </c>
      <c r="B516" s="57" t="s">
        <v>1</v>
      </c>
      <c r="C516" s="57" t="s">
        <v>2926</v>
      </c>
      <c r="D516" s="59" t="s">
        <v>1</v>
      </c>
      <c r="E516" s="57" t="s">
        <v>1</v>
      </c>
      <c r="F516" s="57" t="s">
        <v>1</v>
      </c>
      <c r="G516" s="57">
        <v>19.558199999999999</v>
      </c>
      <c r="H516" s="57">
        <v>278.10939999999999</v>
      </c>
      <c r="I516" s="57">
        <v>276.09370000000001</v>
      </c>
      <c r="J516" s="57">
        <v>279.11259999999999</v>
      </c>
      <c r="K516" s="57">
        <v>281.0514</v>
      </c>
      <c r="L516" s="75">
        <v>0</v>
      </c>
      <c r="M516" s="75" t="s">
        <v>1</v>
      </c>
    </row>
    <row r="517" spans="1:13" x14ac:dyDescent="0.2">
      <c r="A517" s="54">
        <v>516</v>
      </c>
      <c r="B517" s="57">
        <v>421</v>
      </c>
      <c r="C517" s="57" t="s">
        <v>2815</v>
      </c>
      <c r="D517" s="59" t="s">
        <v>3331</v>
      </c>
      <c r="E517" s="57" t="s">
        <v>592</v>
      </c>
      <c r="F517" s="57">
        <v>223.09970000000001</v>
      </c>
      <c r="G517" s="57">
        <v>13.191700000000001</v>
      </c>
      <c r="H517" s="57">
        <v>223.0986</v>
      </c>
      <c r="I517" s="57">
        <v>106.0701</v>
      </c>
      <c r="J517" s="57">
        <v>116.0556</v>
      </c>
      <c r="K517" s="57">
        <v>206.08449999999999</v>
      </c>
      <c r="L517" s="75" t="s">
        <v>591</v>
      </c>
      <c r="M517" s="75" t="s">
        <v>591</v>
      </c>
    </row>
    <row r="518" spans="1:13" x14ac:dyDescent="0.2">
      <c r="A518" s="54">
        <v>517</v>
      </c>
      <c r="B518" s="57">
        <v>422</v>
      </c>
      <c r="C518" s="57" t="s">
        <v>2101</v>
      </c>
      <c r="D518" s="59" t="s">
        <v>1224</v>
      </c>
      <c r="E518" s="57" t="s">
        <v>988</v>
      </c>
      <c r="F518" s="57">
        <v>199.11089999999999</v>
      </c>
      <c r="G518" s="57">
        <v>6.6227999999999998</v>
      </c>
      <c r="H518" s="57">
        <v>199.11019999999999</v>
      </c>
      <c r="I518" s="57">
        <v>198.1027</v>
      </c>
      <c r="J518" s="57">
        <v>186.11529999999999</v>
      </c>
      <c r="K518" s="57">
        <v>197.095</v>
      </c>
      <c r="L518" s="75" t="s">
        <v>987</v>
      </c>
      <c r="M518" s="75" t="s">
        <v>987</v>
      </c>
    </row>
    <row r="519" spans="1:13" x14ac:dyDescent="0.2">
      <c r="A519" s="54">
        <v>518</v>
      </c>
      <c r="B519" s="57">
        <v>423</v>
      </c>
      <c r="C519" s="57" t="s">
        <v>2326</v>
      </c>
      <c r="D519" s="59" t="s">
        <v>3332</v>
      </c>
      <c r="E519" s="57" t="s">
        <v>877</v>
      </c>
      <c r="F519" s="57">
        <v>198.02770000000001</v>
      </c>
      <c r="G519" s="57">
        <v>8.0704999999999991</v>
      </c>
      <c r="H519" s="57">
        <v>121.0107</v>
      </c>
      <c r="I519" s="57">
        <v>169.01390000000001</v>
      </c>
      <c r="J519" s="57">
        <v>168.0061</v>
      </c>
      <c r="K519" s="57">
        <v>123.02630000000001</v>
      </c>
      <c r="L519" s="75" t="s">
        <v>876</v>
      </c>
      <c r="M519" s="75" t="s">
        <v>876</v>
      </c>
    </row>
    <row r="520" spans="1:13" x14ac:dyDescent="0.2">
      <c r="A520" s="54">
        <v>519</v>
      </c>
      <c r="B520" s="57" t="s">
        <v>1</v>
      </c>
      <c r="C520" s="57" t="s">
        <v>2932</v>
      </c>
      <c r="D520" s="59" t="s">
        <v>1</v>
      </c>
      <c r="E520" s="57" t="s">
        <v>1</v>
      </c>
      <c r="F520" s="57" t="s">
        <v>1</v>
      </c>
      <c r="G520" s="57">
        <v>5.4728000000000003</v>
      </c>
      <c r="H520" s="57">
        <v>198.02709999999999</v>
      </c>
      <c r="I520" s="57">
        <v>168.02889999999999</v>
      </c>
      <c r="J520" s="57">
        <v>152.0213</v>
      </c>
      <c r="K520" s="57">
        <v>199.03</v>
      </c>
      <c r="L520" s="75">
        <v>0</v>
      </c>
      <c r="M520" s="75" t="s">
        <v>1</v>
      </c>
    </row>
    <row r="521" spans="1:13" x14ac:dyDescent="0.2">
      <c r="A521" s="54">
        <v>520</v>
      </c>
      <c r="B521" s="57">
        <v>424</v>
      </c>
      <c r="C521" s="57" t="s">
        <v>2743</v>
      </c>
      <c r="D521" s="59" t="s">
        <v>2744</v>
      </c>
      <c r="E521" s="57" t="s">
        <v>2745</v>
      </c>
      <c r="F521" s="57">
        <v>186.0018</v>
      </c>
      <c r="G521" s="57">
        <v>8.9413999999999998</v>
      </c>
      <c r="H521" s="57">
        <v>185.99969999999999</v>
      </c>
      <c r="I521" s="57">
        <v>110.9997</v>
      </c>
      <c r="J521" s="57">
        <v>187.9967</v>
      </c>
      <c r="K521" s="57">
        <v>186</v>
      </c>
      <c r="L521" s="75" t="s">
        <v>3470</v>
      </c>
      <c r="M521" s="75" t="s">
        <v>3470</v>
      </c>
    </row>
    <row r="522" spans="1:13" x14ac:dyDescent="0.2">
      <c r="A522" s="54">
        <v>521</v>
      </c>
      <c r="B522" s="57">
        <v>425</v>
      </c>
      <c r="C522" s="57" t="s">
        <v>1759</v>
      </c>
      <c r="D522" s="59" t="s">
        <v>1760</v>
      </c>
      <c r="E522" s="57" t="s">
        <v>1761</v>
      </c>
      <c r="F522" s="57">
        <v>377.87060000000002</v>
      </c>
      <c r="G522" s="57">
        <v>12.844099999999999</v>
      </c>
      <c r="H522" s="57">
        <v>317.90660000000003</v>
      </c>
      <c r="I522" s="57">
        <v>314.90629999999999</v>
      </c>
      <c r="J522" s="57">
        <v>315.90949999999998</v>
      </c>
      <c r="K522" s="57">
        <v>249.8486</v>
      </c>
      <c r="L522" s="75" t="s">
        <v>3500</v>
      </c>
      <c r="M522" s="75" t="s">
        <v>3500</v>
      </c>
    </row>
    <row r="523" spans="1:13" x14ac:dyDescent="0.2">
      <c r="A523" s="54">
        <v>522</v>
      </c>
      <c r="B523" s="57" t="s">
        <v>1</v>
      </c>
      <c r="C523" s="57" t="s">
        <v>1918</v>
      </c>
      <c r="D523" s="59" t="s">
        <v>1</v>
      </c>
      <c r="E523" s="57" t="s">
        <v>1</v>
      </c>
      <c r="F523" s="57" t="s">
        <v>1</v>
      </c>
      <c r="G523" s="57">
        <v>12.8467</v>
      </c>
      <c r="H523" s="57">
        <v>316.90350000000001</v>
      </c>
      <c r="I523" s="57">
        <v>318.90039999999999</v>
      </c>
      <c r="J523" s="57">
        <v>314.90649999999999</v>
      </c>
      <c r="K523" s="57">
        <v>320.8974</v>
      </c>
      <c r="L523" s="75">
        <v>0</v>
      </c>
      <c r="M523" s="75" t="s">
        <v>1</v>
      </c>
    </row>
    <row r="524" spans="1:13" x14ac:dyDescent="0.2">
      <c r="A524" s="54">
        <v>523</v>
      </c>
      <c r="B524" s="57">
        <v>426</v>
      </c>
      <c r="C524" s="57" t="s">
        <v>2774</v>
      </c>
      <c r="D524" s="59" t="s">
        <v>1185</v>
      </c>
      <c r="E524" s="57" t="s">
        <v>82</v>
      </c>
      <c r="F524" s="57">
        <v>130.0994</v>
      </c>
      <c r="G524" s="57">
        <v>7.9717000000000002</v>
      </c>
      <c r="H524" s="57">
        <v>130.09870000000001</v>
      </c>
      <c r="I524" s="57">
        <v>88.051900000000003</v>
      </c>
      <c r="J524" s="57">
        <v>85.101200000000006</v>
      </c>
      <c r="K524" s="57">
        <v>101.0598</v>
      </c>
      <c r="L524" s="75" t="s">
        <v>81</v>
      </c>
      <c r="M524" s="75" t="s">
        <v>81</v>
      </c>
    </row>
    <row r="525" spans="1:13" x14ac:dyDescent="0.2">
      <c r="A525" s="54">
        <v>524</v>
      </c>
      <c r="B525" s="57" t="s">
        <v>1</v>
      </c>
      <c r="C525" s="57" t="s">
        <v>2775</v>
      </c>
      <c r="D525" s="59" t="s">
        <v>1</v>
      </c>
      <c r="E525" s="57" t="s">
        <v>1</v>
      </c>
      <c r="F525" s="57" t="s">
        <v>1</v>
      </c>
      <c r="G525" s="57">
        <v>5.3251999999999997</v>
      </c>
      <c r="H525" s="57">
        <v>130.09870000000001</v>
      </c>
      <c r="I525" s="57">
        <v>88.051900000000003</v>
      </c>
      <c r="J525" s="57">
        <v>85.101200000000006</v>
      </c>
      <c r="K525" s="57">
        <v>101.0598</v>
      </c>
      <c r="L525" s="75">
        <v>0</v>
      </c>
      <c r="M525" s="75" t="s">
        <v>1</v>
      </c>
    </row>
    <row r="526" spans="1:13" x14ac:dyDescent="0.2">
      <c r="A526" s="54">
        <v>525</v>
      </c>
      <c r="B526" s="57">
        <v>427</v>
      </c>
      <c r="C526" s="57" t="s">
        <v>2531</v>
      </c>
      <c r="D526" s="59" t="s">
        <v>3333</v>
      </c>
      <c r="E526" s="57" t="s">
        <v>231</v>
      </c>
      <c r="F526" s="57">
        <v>278.15179999999998</v>
      </c>
      <c r="G526" s="57">
        <v>4.8291000000000004</v>
      </c>
      <c r="H526" s="57">
        <v>149.13249999999999</v>
      </c>
      <c r="I526" s="57">
        <v>150.13579999999999</v>
      </c>
      <c r="J526" s="57">
        <v>167.143</v>
      </c>
      <c r="K526" s="57">
        <v>104.0257</v>
      </c>
      <c r="L526" s="75" t="s">
        <v>230</v>
      </c>
      <c r="M526" s="75" t="s">
        <v>230</v>
      </c>
    </row>
    <row r="527" spans="1:13" x14ac:dyDescent="0.2">
      <c r="A527" s="54">
        <v>526</v>
      </c>
      <c r="B527" s="57">
        <v>428</v>
      </c>
      <c r="C527" s="57" t="s">
        <v>2252</v>
      </c>
      <c r="D527" s="59" t="s">
        <v>3334</v>
      </c>
      <c r="E527" s="57" t="s">
        <v>492</v>
      </c>
      <c r="F527" s="57">
        <v>145.96899999999999</v>
      </c>
      <c r="G527" s="57">
        <v>6.3483000000000001</v>
      </c>
      <c r="H527" s="57">
        <v>145.96870000000001</v>
      </c>
      <c r="I527" s="57">
        <v>144.96090000000001</v>
      </c>
      <c r="J527" s="57">
        <v>146.9579</v>
      </c>
      <c r="K527" s="57">
        <v>132.96080000000001</v>
      </c>
      <c r="L527" s="75" t="s">
        <v>491</v>
      </c>
      <c r="M527" s="75" t="s">
        <v>491</v>
      </c>
    </row>
    <row r="528" spans="1:13" x14ac:dyDescent="0.2">
      <c r="A528" s="54">
        <v>527</v>
      </c>
      <c r="B528" s="57">
        <v>429</v>
      </c>
      <c r="C528" s="57" t="s">
        <v>2410</v>
      </c>
      <c r="D528" s="59" t="s">
        <v>3382</v>
      </c>
      <c r="E528" s="57" t="s">
        <v>2411</v>
      </c>
      <c r="F528" s="57">
        <v>493.71300000000002</v>
      </c>
      <c r="G528" s="57">
        <v>16.975300000000001</v>
      </c>
      <c r="H528" s="57">
        <v>403.78660000000002</v>
      </c>
      <c r="I528" s="57">
        <v>405.78480000000002</v>
      </c>
      <c r="J528" s="57">
        <v>401.78899999999999</v>
      </c>
      <c r="K528" s="57">
        <v>407.78230000000002</v>
      </c>
      <c r="L528" s="75" t="s">
        <v>3429</v>
      </c>
      <c r="M528" s="75" t="s">
        <v>3429</v>
      </c>
    </row>
    <row r="529" spans="1:13" x14ac:dyDescent="0.2">
      <c r="A529" s="54">
        <v>528</v>
      </c>
      <c r="B529" s="57">
        <v>430</v>
      </c>
      <c r="C529" s="57" t="s">
        <v>1702</v>
      </c>
      <c r="D529" s="59" t="s">
        <v>1152</v>
      </c>
      <c r="E529" s="57" t="s">
        <v>341</v>
      </c>
      <c r="F529" s="57">
        <v>481.71519999999998</v>
      </c>
      <c r="G529" s="57">
        <v>13.788600000000001</v>
      </c>
      <c r="H529" s="57">
        <v>325.87599999999998</v>
      </c>
      <c r="I529" s="57">
        <v>323.87799999999999</v>
      </c>
      <c r="J529" s="57">
        <v>327.87369999999999</v>
      </c>
      <c r="K529" s="57">
        <v>485.71039999999999</v>
      </c>
      <c r="L529" s="75" t="s">
        <v>335</v>
      </c>
      <c r="M529" s="75" t="s">
        <v>335</v>
      </c>
    </row>
    <row r="530" spans="1:13" x14ac:dyDescent="0.2">
      <c r="A530" s="54">
        <v>529</v>
      </c>
      <c r="B530" s="57">
        <v>431</v>
      </c>
      <c r="C530" s="57" t="s">
        <v>3000</v>
      </c>
      <c r="D530" s="59" t="s">
        <v>3001</v>
      </c>
      <c r="E530" s="57" t="s">
        <v>189</v>
      </c>
      <c r="F530" s="57">
        <v>226.26609999999999</v>
      </c>
      <c r="G530" s="57">
        <v>5.9008000000000003</v>
      </c>
      <c r="H530" s="57">
        <v>85.101200000000006</v>
      </c>
      <c r="I530" s="57">
        <v>97.101200000000006</v>
      </c>
      <c r="J530" s="57">
        <v>111.1169</v>
      </c>
      <c r="K530" s="57">
        <v>125.1326</v>
      </c>
      <c r="L530" s="75" t="s">
        <v>188</v>
      </c>
      <c r="M530" s="75" t="s">
        <v>188</v>
      </c>
    </row>
    <row r="531" spans="1:13" x14ac:dyDescent="0.2">
      <c r="A531" s="54">
        <v>530</v>
      </c>
      <c r="B531" s="57">
        <v>432</v>
      </c>
      <c r="C531" s="57" t="s">
        <v>3021</v>
      </c>
      <c r="D531" s="59" t="s">
        <v>3022</v>
      </c>
      <c r="E531" s="57" t="s">
        <v>314</v>
      </c>
      <c r="F531" s="57">
        <v>450.51650000000001</v>
      </c>
      <c r="G531" s="57">
        <v>20.274799999999999</v>
      </c>
      <c r="H531" s="57">
        <v>85.101200000000006</v>
      </c>
      <c r="I531" s="57">
        <v>97.101299999999995</v>
      </c>
      <c r="J531" s="57">
        <v>111.1169</v>
      </c>
      <c r="K531" s="57">
        <v>125.13249999999999</v>
      </c>
      <c r="L531" s="75" t="s">
        <v>313</v>
      </c>
      <c r="M531" s="75" t="s">
        <v>313</v>
      </c>
    </row>
    <row r="532" spans="1:13" x14ac:dyDescent="0.2">
      <c r="A532" s="54">
        <v>531</v>
      </c>
      <c r="B532" s="57">
        <v>433</v>
      </c>
      <c r="C532" s="57" t="s">
        <v>2464</v>
      </c>
      <c r="D532" s="59" t="s">
        <v>2465</v>
      </c>
      <c r="E532" s="57" t="s">
        <v>53</v>
      </c>
      <c r="F532" s="57">
        <v>290.18799999999999</v>
      </c>
      <c r="G532" s="57">
        <v>9.8104999999999993</v>
      </c>
      <c r="H532" s="57">
        <v>150.1405</v>
      </c>
      <c r="I532" s="57">
        <v>152.11949999999999</v>
      </c>
      <c r="J532" s="57">
        <v>178.17150000000001</v>
      </c>
      <c r="K532" s="57">
        <v>179.1429</v>
      </c>
      <c r="L532" s="75" t="s">
        <v>52</v>
      </c>
      <c r="M532" s="75" t="s">
        <v>52</v>
      </c>
    </row>
    <row r="533" spans="1:13" x14ac:dyDescent="0.2">
      <c r="A533" s="54">
        <v>532</v>
      </c>
      <c r="B533" s="57">
        <v>434</v>
      </c>
      <c r="C533" s="57" t="s">
        <v>2854</v>
      </c>
      <c r="D533" s="59" t="s">
        <v>3335</v>
      </c>
      <c r="E533" s="57" t="s">
        <v>510</v>
      </c>
      <c r="F533" s="57">
        <v>102.0793</v>
      </c>
      <c r="G533" s="57">
        <v>3.7576000000000001</v>
      </c>
      <c r="H533" s="57">
        <v>103.0753</v>
      </c>
      <c r="I533" s="57">
        <v>101.05970000000001</v>
      </c>
      <c r="J533" s="57">
        <v>93.069900000000004</v>
      </c>
      <c r="K533" s="57">
        <v>104.07859999999999</v>
      </c>
      <c r="L533" s="75" t="s">
        <v>509</v>
      </c>
      <c r="M533" s="75" t="s">
        <v>509</v>
      </c>
    </row>
    <row r="534" spans="1:13" x14ac:dyDescent="0.2">
      <c r="A534" s="54">
        <v>533</v>
      </c>
      <c r="B534" s="57">
        <v>435</v>
      </c>
      <c r="C534" s="57" t="s">
        <v>2177</v>
      </c>
      <c r="D534" s="59" t="s">
        <v>2178</v>
      </c>
      <c r="E534" s="57" t="s">
        <v>714</v>
      </c>
      <c r="F534" s="57">
        <v>278.02</v>
      </c>
      <c r="G534" s="57">
        <v>8.0704999999999991</v>
      </c>
      <c r="H534" s="57">
        <v>278.0197</v>
      </c>
      <c r="I534" s="57">
        <v>169.0137</v>
      </c>
      <c r="J534" s="57">
        <v>245.03960000000001</v>
      </c>
      <c r="K534" s="57">
        <v>124.98220000000001</v>
      </c>
      <c r="L534" s="75" t="s">
        <v>713</v>
      </c>
      <c r="M534" s="75" t="s">
        <v>713</v>
      </c>
    </row>
    <row r="535" spans="1:13" x14ac:dyDescent="0.2">
      <c r="A535" s="54">
        <v>534</v>
      </c>
      <c r="B535" s="57">
        <v>436</v>
      </c>
      <c r="C535" s="57" t="s">
        <v>1955</v>
      </c>
      <c r="D535" s="59" t="s">
        <v>1956</v>
      </c>
      <c r="E535" s="57" t="s">
        <v>1957</v>
      </c>
      <c r="F535" s="57">
        <v>333.09359999999998</v>
      </c>
      <c r="G535" s="57">
        <v>5.6138000000000003</v>
      </c>
      <c r="H535" s="57">
        <v>333.09269999999998</v>
      </c>
      <c r="I535" s="57">
        <v>276.05900000000003</v>
      </c>
      <c r="J535" s="57">
        <v>316.08999999999997</v>
      </c>
      <c r="K535" s="57">
        <v>277.06240000000003</v>
      </c>
      <c r="L535" s="75" t="s">
        <v>3406</v>
      </c>
      <c r="M535" s="75" t="s">
        <v>3406</v>
      </c>
    </row>
    <row r="536" spans="1:13" x14ac:dyDescent="0.2">
      <c r="A536" s="54">
        <v>535</v>
      </c>
      <c r="B536" s="57">
        <v>437</v>
      </c>
      <c r="C536" s="57" t="s">
        <v>1827</v>
      </c>
      <c r="D536" s="59" t="s">
        <v>1828</v>
      </c>
      <c r="E536" s="57" t="s">
        <v>1829</v>
      </c>
      <c r="F536" s="57">
        <v>405.78469999999999</v>
      </c>
      <c r="G536" s="57">
        <v>16.771699999999999</v>
      </c>
      <c r="H536" s="57">
        <v>405.78449999999998</v>
      </c>
      <c r="I536" s="57">
        <v>403.78649999999999</v>
      </c>
      <c r="J536" s="57">
        <v>407.78219999999999</v>
      </c>
      <c r="K536" s="57">
        <v>401.78870000000001</v>
      </c>
      <c r="L536" s="75" t="s">
        <v>3473</v>
      </c>
      <c r="M536" s="75" t="s">
        <v>3473</v>
      </c>
    </row>
    <row r="537" spans="1:13" x14ac:dyDescent="0.2">
      <c r="A537" s="54">
        <v>536</v>
      </c>
      <c r="B537" s="57">
        <v>438</v>
      </c>
      <c r="C537" s="57" t="s">
        <v>1809</v>
      </c>
      <c r="D537" s="59" t="s">
        <v>1810</v>
      </c>
      <c r="E537" s="57" t="s">
        <v>1811</v>
      </c>
      <c r="F537" s="57">
        <v>371.82369999999997</v>
      </c>
      <c r="G537" s="57">
        <v>15.8566</v>
      </c>
      <c r="H537" s="57">
        <v>373.82130000000001</v>
      </c>
      <c r="I537" s="57">
        <v>375.81819999999999</v>
      </c>
      <c r="J537" s="57">
        <v>371.82409999999999</v>
      </c>
      <c r="K537" s="57">
        <v>377.81509999999997</v>
      </c>
      <c r="L537" s="75" t="s">
        <v>3431</v>
      </c>
      <c r="M537" s="75" t="s">
        <v>3431</v>
      </c>
    </row>
    <row r="538" spans="1:13" x14ac:dyDescent="0.2">
      <c r="A538" s="54">
        <v>537</v>
      </c>
      <c r="B538" s="57">
        <v>439</v>
      </c>
      <c r="C538" s="57" t="s">
        <v>1852</v>
      </c>
      <c r="D538" s="59" t="s">
        <v>1853</v>
      </c>
      <c r="E538" s="57" t="s">
        <v>1854</v>
      </c>
      <c r="F538" s="57">
        <v>320.89499999999998</v>
      </c>
      <c r="G538" s="57">
        <v>12.8309</v>
      </c>
      <c r="H538" s="57">
        <v>320.89679999999998</v>
      </c>
      <c r="I538" s="57">
        <v>316.90339999999998</v>
      </c>
      <c r="J538" s="57">
        <v>318.90050000000002</v>
      </c>
      <c r="K538" s="57">
        <v>314.90620000000001</v>
      </c>
      <c r="L538" s="75" t="s">
        <v>3474</v>
      </c>
      <c r="M538" s="75" t="s">
        <v>3474</v>
      </c>
    </row>
    <row r="539" spans="1:13" x14ac:dyDescent="0.2">
      <c r="A539" s="54">
        <v>538</v>
      </c>
      <c r="B539" s="57">
        <v>440</v>
      </c>
      <c r="C539" s="57" t="s">
        <v>2554</v>
      </c>
      <c r="D539" s="59" t="s">
        <v>2555</v>
      </c>
      <c r="E539" s="57" t="s">
        <v>2556</v>
      </c>
      <c r="F539" s="57">
        <v>151.87540000000001</v>
      </c>
      <c r="G539" s="57">
        <v>5.3296999999999999</v>
      </c>
      <c r="H539" s="57">
        <v>116.9061</v>
      </c>
      <c r="I539" s="57">
        <v>118.90309999999999</v>
      </c>
      <c r="J539" s="57">
        <v>120.9002</v>
      </c>
      <c r="K539" s="57">
        <v>122.9688</v>
      </c>
      <c r="L539" s="75" t="s">
        <v>3404</v>
      </c>
      <c r="M539" s="75" t="s">
        <v>3404</v>
      </c>
    </row>
    <row r="540" spans="1:13" x14ac:dyDescent="0.2">
      <c r="A540" s="54">
        <v>539</v>
      </c>
      <c r="B540" s="57">
        <v>441</v>
      </c>
      <c r="C540" s="57" t="s">
        <v>2217</v>
      </c>
      <c r="D540" s="59" t="s">
        <v>3336</v>
      </c>
      <c r="E540" s="57" t="s">
        <v>665</v>
      </c>
      <c r="F540" s="57">
        <v>291.03300000000002</v>
      </c>
      <c r="G540" s="57">
        <v>8.1344999999999992</v>
      </c>
      <c r="H540" s="57">
        <v>291.03250000000003</v>
      </c>
      <c r="I540" s="57">
        <v>109.00490000000001</v>
      </c>
      <c r="J540" s="57">
        <v>96.950800000000001</v>
      </c>
      <c r="K540" s="57">
        <v>291.03320000000002</v>
      </c>
      <c r="L540" s="75" t="s">
        <v>664</v>
      </c>
      <c r="M540" s="75" t="s">
        <v>664</v>
      </c>
    </row>
    <row r="541" spans="1:13" x14ac:dyDescent="0.2">
      <c r="A541" s="54">
        <v>540</v>
      </c>
      <c r="B541" s="57">
        <v>442</v>
      </c>
      <c r="C541" s="57" t="s">
        <v>2845</v>
      </c>
      <c r="D541" s="59" t="s">
        <v>3337</v>
      </c>
      <c r="E541" s="57" t="s">
        <v>470</v>
      </c>
      <c r="F541" s="57">
        <v>268.12520000000001</v>
      </c>
      <c r="G541" s="57">
        <v>18.517700000000001</v>
      </c>
      <c r="H541" s="57">
        <v>268.12509999999997</v>
      </c>
      <c r="I541" s="57">
        <v>267.11700000000002</v>
      </c>
      <c r="J541" s="57">
        <v>269.1277</v>
      </c>
      <c r="K541" s="57">
        <v>265.10129999999998</v>
      </c>
      <c r="L541" s="75" t="s">
        <v>469</v>
      </c>
      <c r="M541" s="75" t="s">
        <v>469</v>
      </c>
    </row>
    <row r="542" spans="1:13" x14ac:dyDescent="0.2">
      <c r="A542" s="54">
        <v>541</v>
      </c>
      <c r="B542" s="57">
        <v>443</v>
      </c>
      <c r="C542" s="57" t="s">
        <v>2907</v>
      </c>
      <c r="D542" s="59" t="s">
        <v>1078</v>
      </c>
      <c r="E542" s="57" t="s">
        <v>460</v>
      </c>
      <c r="F542" s="57">
        <v>228.09389999999999</v>
      </c>
      <c r="G542" s="57">
        <v>13.115</v>
      </c>
      <c r="H542" s="57">
        <v>228.09350000000001</v>
      </c>
      <c r="I542" s="57">
        <v>226.0779</v>
      </c>
      <c r="J542" s="57">
        <v>229.0968</v>
      </c>
      <c r="K542" s="57">
        <v>113.0385</v>
      </c>
      <c r="L542" s="75" t="s">
        <v>452</v>
      </c>
      <c r="M542" s="75" t="s">
        <v>452</v>
      </c>
    </row>
    <row r="543" spans="1:13" x14ac:dyDescent="0.2">
      <c r="A543" s="54">
        <v>542</v>
      </c>
      <c r="B543" s="57" t="s">
        <v>1</v>
      </c>
      <c r="C543" s="57" t="s">
        <v>2303</v>
      </c>
      <c r="D543" s="59" t="s">
        <v>1</v>
      </c>
      <c r="E543" s="57" t="s">
        <v>1</v>
      </c>
      <c r="F543" s="57" t="s">
        <v>1</v>
      </c>
      <c r="G543" s="57">
        <v>13.200699999999999</v>
      </c>
      <c r="H543" s="57">
        <v>228.09360000000001</v>
      </c>
      <c r="I543" s="57">
        <v>226.0778</v>
      </c>
      <c r="J543" s="57">
        <v>229.0967</v>
      </c>
      <c r="K543" s="57">
        <v>224.06219999999999</v>
      </c>
      <c r="L543" s="75">
        <v>0</v>
      </c>
      <c r="M543" s="75" t="s">
        <v>1</v>
      </c>
    </row>
    <row r="544" spans="1:13" x14ac:dyDescent="0.2">
      <c r="A544" s="54">
        <v>543</v>
      </c>
      <c r="B544" s="57">
        <v>444</v>
      </c>
      <c r="C544" s="57" t="s">
        <v>2812</v>
      </c>
      <c r="D544" s="59" t="s">
        <v>3338</v>
      </c>
      <c r="E544" s="57" t="s">
        <v>595</v>
      </c>
      <c r="F544" s="57">
        <v>190.0378</v>
      </c>
      <c r="G544" s="57">
        <v>11.087999999999999</v>
      </c>
      <c r="H544" s="57">
        <v>190.036</v>
      </c>
      <c r="I544" s="57">
        <v>191.03100000000001</v>
      </c>
      <c r="J544" s="57">
        <v>192.01070000000001</v>
      </c>
      <c r="K544" s="57">
        <v>168.05709999999999</v>
      </c>
      <c r="L544" s="75" t="s">
        <v>594</v>
      </c>
      <c r="M544" s="75" t="s">
        <v>594</v>
      </c>
    </row>
    <row r="545" spans="1:13" x14ac:dyDescent="0.2">
      <c r="A545" s="54">
        <v>544</v>
      </c>
      <c r="B545" s="57">
        <v>445</v>
      </c>
      <c r="C545" s="57" t="s">
        <v>2163</v>
      </c>
      <c r="D545" s="59" t="s">
        <v>2164</v>
      </c>
      <c r="E545" s="57" t="s">
        <v>2165</v>
      </c>
      <c r="F545" s="57">
        <v>362.0145</v>
      </c>
      <c r="G545" s="57">
        <v>16.075399999999998</v>
      </c>
      <c r="H545" s="57">
        <v>362.01409999999998</v>
      </c>
      <c r="I545" s="57">
        <v>96.950800000000001</v>
      </c>
      <c r="J545" s="57">
        <v>109.0048</v>
      </c>
      <c r="K545" s="57">
        <v>364.01100000000002</v>
      </c>
      <c r="L545" s="75" t="s">
        <v>3456</v>
      </c>
      <c r="M545" s="75" t="s">
        <v>3456</v>
      </c>
    </row>
    <row r="546" spans="1:13" x14ac:dyDescent="0.2">
      <c r="A546" s="54">
        <v>545</v>
      </c>
      <c r="B546" s="57">
        <v>446</v>
      </c>
      <c r="C546" s="57" t="s">
        <v>3069</v>
      </c>
      <c r="D546" s="59" t="s">
        <v>1272</v>
      </c>
      <c r="E546" s="57" t="s">
        <v>61</v>
      </c>
      <c r="F546" s="57">
        <v>92.047300000000007</v>
      </c>
      <c r="G546" s="57">
        <v>5.0284000000000004</v>
      </c>
      <c r="H546" s="57">
        <v>113.0386</v>
      </c>
      <c r="I546" s="57">
        <v>168.05680000000001</v>
      </c>
      <c r="J546" s="57">
        <v>87.022900000000007</v>
      </c>
      <c r="K546" s="57">
        <v>92.047899999999998</v>
      </c>
      <c r="L546" s="75" t="s">
        <v>60</v>
      </c>
      <c r="M546" s="75" t="s">
        <v>60</v>
      </c>
    </row>
    <row r="547" spans="1:13" x14ac:dyDescent="0.2">
      <c r="A547" s="54">
        <v>546</v>
      </c>
      <c r="B547" s="57">
        <v>447</v>
      </c>
      <c r="C547" s="57" t="s">
        <v>2423</v>
      </c>
      <c r="D547" s="59" t="s">
        <v>3339</v>
      </c>
      <c r="E547" s="57" t="s">
        <v>322</v>
      </c>
      <c r="F547" s="57">
        <v>368.11799999999999</v>
      </c>
      <c r="G547" s="57">
        <v>14.572699999999999</v>
      </c>
      <c r="H547" s="57">
        <v>368.1182</v>
      </c>
      <c r="I547" s="57">
        <v>367.1112</v>
      </c>
      <c r="J547" s="57">
        <v>165.0701</v>
      </c>
      <c r="K547" s="57">
        <v>261.0684</v>
      </c>
      <c r="L547" s="75" t="s">
        <v>320</v>
      </c>
      <c r="M547" s="75" t="s">
        <v>320</v>
      </c>
    </row>
    <row r="548" spans="1:13" x14ac:dyDescent="0.2">
      <c r="A548" s="54">
        <v>547</v>
      </c>
      <c r="B548" s="57">
        <v>448</v>
      </c>
      <c r="C548" s="57" t="s">
        <v>2169</v>
      </c>
      <c r="D548" s="59" t="s">
        <v>2170</v>
      </c>
      <c r="E548" s="57" t="s">
        <v>2171</v>
      </c>
      <c r="F548" s="57">
        <v>383.98759999999999</v>
      </c>
      <c r="G548" s="57">
        <v>11.085699999999999</v>
      </c>
      <c r="H548" s="57">
        <v>383.98689999999999</v>
      </c>
      <c r="I548" s="57">
        <v>230.9736</v>
      </c>
      <c r="J548" s="57">
        <v>96.950800000000001</v>
      </c>
      <c r="K548" s="57">
        <v>153.01329999999999</v>
      </c>
      <c r="L548" s="75" t="s">
        <v>3540</v>
      </c>
      <c r="M548" s="75" t="s">
        <v>3540</v>
      </c>
    </row>
    <row r="549" spans="1:13" x14ac:dyDescent="0.2">
      <c r="A549" s="54">
        <v>548</v>
      </c>
      <c r="B549" s="57">
        <v>449</v>
      </c>
      <c r="C549" s="57" t="s">
        <v>2598</v>
      </c>
      <c r="D549" s="59" t="s">
        <v>2599</v>
      </c>
      <c r="E549" s="57" t="s">
        <v>2600</v>
      </c>
      <c r="F549" s="57">
        <v>109.96899999999999</v>
      </c>
      <c r="G549" s="57">
        <v>5.6250999999999998</v>
      </c>
      <c r="H549" s="57">
        <v>109.9687</v>
      </c>
      <c r="I549" s="57">
        <v>95.9529</v>
      </c>
      <c r="J549" s="57">
        <v>97.95</v>
      </c>
      <c r="K549" s="57">
        <v>98.957700000000003</v>
      </c>
      <c r="L549" s="75" t="s">
        <v>3402</v>
      </c>
      <c r="M549" s="75" t="s">
        <v>3402</v>
      </c>
    </row>
    <row r="550" spans="1:13" x14ac:dyDescent="0.2">
      <c r="A550" s="54">
        <v>549</v>
      </c>
      <c r="B550" s="57">
        <v>450</v>
      </c>
      <c r="C550" s="57" t="s">
        <v>2826</v>
      </c>
      <c r="D550" s="59" t="s">
        <v>3340</v>
      </c>
      <c r="E550" s="57" t="s">
        <v>472</v>
      </c>
      <c r="F550" s="57">
        <v>256.12520000000001</v>
      </c>
      <c r="G550" s="57">
        <v>16.728100000000001</v>
      </c>
      <c r="H550" s="57">
        <v>256.12470000000002</v>
      </c>
      <c r="I550" s="57">
        <v>252.0933</v>
      </c>
      <c r="J550" s="57">
        <v>253.0967</v>
      </c>
      <c r="K550" s="57">
        <v>250.0779</v>
      </c>
      <c r="L550" s="75" t="s">
        <v>471</v>
      </c>
      <c r="M550" s="75" t="s">
        <v>471</v>
      </c>
    </row>
    <row r="551" spans="1:13" x14ac:dyDescent="0.2">
      <c r="A551" s="54">
        <v>550</v>
      </c>
      <c r="B551" s="57">
        <v>451</v>
      </c>
      <c r="C551" s="57" t="s">
        <v>2205</v>
      </c>
      <c r="D551" s="59" t="s">
        <v>2206</v>
      </c>
      <c r="E551" s="57" t="s">
        <v>2207</v>
      </c>
      <c r="F551" s="57">
        <v>299.95440000000002</v>
      </c>
      <c r="G551" s="57">
        <v>11.1374</v>
      </c>
      <c r="H551" s="57">
        <v>268.92570000000001</v>
      </c>
      <c r="I551" s="57">
        <v>270.92239999999998</v>
      </c>
      <c r="J551" s="57">
        <v>296.95679999999999</v>
      </c>
      <c r="K551" s="57">
        <v>297.96050000000002</v>
      </c>
      <c r="L551" s="75" t="s">
        <v>3525</v>
      </c>
      <c r="M551" s="75" t="s">
        <v>3525</v>
      </c>
    </row>
    <row r="552" spans="1:13" x14ac:dyDescent="0.2">
      <c r="A552" s="54">
        <v>551</v>
      </c>
      <c r="B552" s="57" t="s">
        <v>1</v>
      </c>
      <c r="C552" s="57" t="s">
        <v>2208</v>
      </c>
      <c r="D552" s="59" t="s">
        <v>1</v>
      </c>
      <c r="E552" s="57" t="s">
        <v>1</v>
      </c>
      <c r="F552" s="57" t="s">
        <v>1</v>
      </c>
      <c r="G552" s="57">
        <v>10.822900000000001</v>
      </c>
      <c r="H552" s="57">
        <v>268.92570000000001</v>
      </c>
      <c r="I552" s="57">
        <v>270.92239999999998</v>
      </c>
      <c r="J552" s="57">
        <v>296.95679999999999</v>
      </c>
      <c r="K552" s="57">
        <v>297.96050000000002</v>
      </c>
      <c r="L552" s="75">
        <v>0</v>
      </c>
      <c r="M552" s="75" t="s">
        <v>1</v>
      </c>
    </row>
    <row r="553" spans="1:13" x14ac:dyDescent="0.2">
      <c r="A553" s="54">
        <v>552</v>
      </c>
      <c r="B553" s="57">
        <v>452</v>
      </c>
      <c r="C553" s="57" t="s">
        <v>1799</v>
      </c>
      <c r="D553" s="59" t="s">
        <v>3563</v>
      </c>
      <c r="E553" s="57" t="s">
        <v>1800</v>
      </c>
      <c r="F553" s="57">
        <v>337.86270000000002</v>
      </c>
      <c r="G553" s="57">
        <v>13.658300000000001</v>
      </c>
      <c r="H553" s="57">
        <v>339.85980000000001</v>
      </c>
      <c r="I553" s="57">
        <v>337.86279999999999</v>
      </c>
      <c r="J553" s="57">
        <v>341.85680000000002</v>
      </c>
      <c r="K553" s="57">
        <v>343.8537</v>
      </c>
      <c r="L553" s="75" t="s">
        <v>478</v>
      </c>
      <c r="M553" s="75" t="s">
        <v>478</v>
      </c>
    </row>
    <row r="554" spans="1:13" x14ac:dyDescent="0.2">
      <c r="A554" s="54">
        <v>553</v>
      </c>
      <c r="B554" s="57">
        <v>453</v>
      </c>
      <c r="C554" s="57" t="s">
        <v>1798</v>
      </c>
      <c r="D554" s="59" t="s">
        <v>3214</v>
      </c>
      <c r="E554" s="57" t="s">
        <v>479</v>
      </c>
      <c r="F554" s="57">
        <v>337.86270000000002</v>
      </c>
      <c r="G554" s="57">
        <v>13.617900000000001</v>
      </c>
      <c r="H554" s="57">
        <v>335.90449999999998</v>
      </c>
      <c r="I554" s="57">
        <v>341.85539999999997</v>
      </c>
      <c r="J554" s="57">
        <v>339.85890000000001</v>
      </c>
      <c r="K554" s="57">
        <v>337.86279999999999</v>
      </c>
      <c r="L554" s="75" t="s">
        <v>478</v>
      </c>
      <c r="M554" s="75" t="s">
        <v>478</v>
      </c>
    </row>
    <row r="555" spans="1:13" x14ac:dyDescent="0.2">
      <c r="A555" s="54">
        <v>554</v>
      </c>
      <c r="B555" s="57">
        <v>454</v>
      </c>
      <c r="C555" s="57" t="s">
        <v>1812</v>
      </c>
      <c r="D555" s="59" t="s">
        <v>1813</v>
      </c>
      <c r="E555" s="57" t="s">
        <v>1814</v>
      </c>
      <c r="F555" s="57">
        <v>371.82369999999997</v>
      </c>
      <c r="G555" s="57">
        <v>16.2667</v>
      </c>
      <c r="H555" s="57">
        <v>373.82130000000001</v>
      </c>
      <c r="I555" s="57">
        <v>375.81819999999999</v>
      </c>
      <c r="J555" s="57">
        <v>371.82409999999999</v>
      </c>
      <c r="K555" s="57">
        <v>377.81509999999997</v>
      </c>
      <c r="L555" s="75" t="s">
        <v>3431</v>
      </c>
      <c r="M555" s="75" t="s">
        <v>3431</v>
      </c>
    </row>
    <row r="556" spans="1:13" x14ac:dyDescent="0.2">
      <c r="A556" s="54">
        <v>555</v>
      </c>
      <c r="B556" s="57">
        <v>455</v>
      </c>
      <c r="C556" s="57" t="s">
        <v>1804</v>
      </c>
      <c r="D556" s="59" t="s">
        <v>3668</v>
      </c>
      <c r="E556" s="57" t="s">
        <v>1805</v>
      </c>
      <c r="F556" s="57">
        <v>387.8186</v>
      </c>
      <c r="G556" s="57">
        <v>16.7012</v>
      </c>
      <c r="H556" s="57">
        <v>389.81619999999998</v>
      </c>
      <c r="I556" s="57">
        <v>391.81310000000002</v>
      </c>
      <c r="J556" s="57">
        <v>387.81900000000002</v>
      </c>
      <c r="K556" s="57">
        <v>393.80970000000002</v>
      </c>
      <c r="L556" s="75" t="s">
        <v>3445</v>
      </c>
      <c r="M556" s="75" t="s">
        <v>3445</v>
      </c>
    </row>
    <row r="557" spans="1:13" x14ac:dyDescent="0.2">
      <c r="A557" s="54">
        <v>556</v>
      </c>
      <c r="B557" s="57">
        <v>456</v>
      </c>
      <c r="C557" s="57" t="s">
        <v>2350</v>
      </c>
      <c r="D557" s="59" t="s">
        <v>3250</v>
      </c>
      <c r="E557" s="57" t="s">
        <v>561</v>
      </c>
      <c r="F557" s="57">
        <v>284.07799999999997</v>
      </c>
      <c r="G557" s="57">
        <v>10.769</v>
      </c>
      <c r="H557" s="57">
        <v>284.07929999999999</v>
      </c>
      <c r="I557" s="57">
        <v>282.07350000000002</v>
      </c>
      <c r="J557" s="57">
        <v>283.07679999999999</v>
      </c>
      <c r="K557" s="57">
        <v>254.04230000000001</v>
      </c>
      <c r="L557" s="75" t="s">
        <v>560</v>
      </c>
      <c r="M557" s="75" t="s">
        <v>560</v>
      </c>
    </row>
    <row r="558" spans="1:13" x14ac:dyDescent="0.2">
      <c r="A558" s="54">
        <v>557</v>
      </c>
      <c r="B558" s="57">
        <v>457</v>
      </c>
      <c r="C558" s="57" t="s">
        <v>2141</v>
      </c>
      <c r="D558" s="59" t="s">
        <v>1220</v>
      </c>
      <c r="E558" s="57" t="s">
        <v>930</v>
      </c>
      <c r="F558" s="57">
        <v>279.14710000000002</v>
      </c>
      <c r="G558" s="57">
        <v>9.7250999999999994</v>
      </c>
      <c r="H558" s="57">
        <v>132.09350000000001</v>
      </c>
      <c r="I558" s="57">
        <v>160.12450000000001</v>
      </c>
      <c r="J558" s="57">
        <v>206.16659999999999</v>
      </c>
      <c r="K558" s="57">
        <v>145.10130000000001</v>
      </c>
      <c r="L558" s="75" t="s">
        <v>929</v>
      </c>
      <c r="M558" s="75" t="s">
        <v>929</v>
      </c>
    </row>
    <row r="559" spans="1:13" x14ac:dyDescent="0.2">
      <c r="A559" s="54">
        <v>558</v>
      </c>
      <c r="B559" s="57">
        <v>458</v>
      </c>
      <c r="C559" s="57" t="s">
        <v>2118</v>
      </c>
      <c r="D559" s="59" t="s">
        <v>2119</v>
      </c>
      <c r="E559" s="57" t="s">
        <v>2120</v>
      </c>
      <c r="F559" s="57">
        <v>384.23009999999999</v>
      </c>
      <c r="G559" s="57">
        <v>17.7181</v>
      </c>
      <c r="H559" s="57">
        <v>344.23469999999998</v>
      </c>
      <c r="I559" s="57">
        <v>343.2226</v>
      </c>
      <c r="J559" s="57">
        <v>376.2029</v>
      </c>
      <c r="K559" s="57">
        <v>345.23809999999997</v>
      </c>
      <c r="L559" s="75" t="s">
        <v>3408</v>
      </c>
      <c r="M559" s="75" t="s">
        <v>3408</v>
      </c>
    </row>
    <row r="560" spans="1:13" x14ac:dyDescent="0.2">
      <c r="A560" s="54">
        <v>559</v>
      </c>
      <c r="B560" s="57">
        <v>459</v>
      </c>
      <c r="C560" s="57" t="s">
        <v>2740</v>
      </c>
      <c r="D560" s="59" t="s">
        <v>1362</v>
      </c>
      <c r="E560" s="57" t="s">
        <v>37</v>
      </c>
      <c r="F560" s="57">
        <v>194.0804</v>
      </c>
      <c r="G560" s="57">
        <v>6.9958999999999998</v>
      </c>
      <c r="H560" s="57">
        <v>194.07939999999999</v>
      </c>
      <c r="I560" s="57">
        <v>109.0634</v>
      </c>
      <c r="J560" s="57">
        <v>193.072</v>
      </c>
      <c r="K560" s="57">
        <v>167.0728</v>
      </c>
      <c r="L560" s="75" t="s">
        <v>36</v>
      </c>
      <c r="M560" s="75" t="s">
        <v>36</v>
      </c>
    </row>
    <row r="561" spans="1:13" x14ac:dyDescent="0.2">
      <c r="A561" s="54">
        <v>560</v>
      </c>
      <c r="B561" s="57">
        <v>460</v>
      </c>
      <c r="C561" s="57" t="s">
        <v>1735</v>
      </c>
      <c r="D561" s="59" t="s">
        <v>3558</v>
      </c>
      <c r="E561" s="57" t="s">
        <v>751</v>
      </c>
      <c r="F561" s="57">
        <v>287.86009999999999</v>
      </c>
      <c r="G561" s="57">
        <v>6.3474000000000004</v>
      </c>
      <c r="H561" s="57">
        <v>182.93379999999999</v>
      </c>
      <c r="I561" s="57">
        <v>180.93700000000001</v>
      </c>
      <c r="J561" s="57">
        <v>218.91079999999999</v>
      </c>
      <c r="K561" s="57">
        <v>184.93109999999999</v>
      </c>
      <c r="L561" s="75" t="s">
        <v>724</v>
      </c>
      <c r="M561" s="75" t="s">
        <v>724</v>
      </c>
    </row>
    <row r="562" spans="1:13" x14ac:dyDescent="0.2">
      <c r="A562" s="54">
        <v>561</v>
      </c>
      <c r="B562" s="57" t="s">
        <v>1</v>
      </c>
      <c r="C562" s="57" t="s">
        <v>1884</v>
      </c>
      <c r="D562" s="59" t="s">
        <v>1</v>
      </c>
      <c r="E562" s="57" t="s">
        <v>1</v>
      </c>
      <c r="F562" s="57" t="s">
        <v>1</v>
      </c>
      <c r="G562" s="57">
        <v>6.3483000000000001</v>
      </c>
      <c r="H562" s="57">
        <v>180.93700000000001</v>
      </c>
      <c r="I562" s="57">
        <v>182.93379999999999</v>
      </c>
      <c r="J562" s="57">
        <v>218.91079999999999</v>
      </c>
      <c r="K562" s="57">
        <v>184.93109999999999</v>
      </c>
      <c r="L562" s="75">
        <v>0</v>
      </c>
      <c r="M562" s="75" t="s">
        <v>1</v>
      </c>
    </row>
    <row r="563" spans="1:13" x14ac:dyDescent="0.2">
      <c r="A563" s="54">
        <v>562</v>
      </c>
      <c r="B563" s="57">
        <v>461</v>
      </c>
      <c r="C563" s="57" t="s">
        <v>1581</v>
      </c>
      <c r="D563" s="59" t="s">
        <v>1582</v>
      </c>
      <c r="E563" s="57" t="s">
        <v>1583</v>
      </c>
      <c r="F563" s="57">
        <v>229.88596999999999</v>
      </c>
      <c r="G563" s="57">
        <v>5.2057000000000002</v>
      </c>
      <c r="H563" s="57">
        <v>231.88239999999999</v>
      </c>
      <c r="I563" s="57">
        <v>229.88550000000001</v>
      </c>
      <c r="J563" s="57">
        <v>233.87960000000001</v>
      </c>
      <c r="K563" s="57">
        <v>235.8767</v>
      </c>
      <c r="L563" s="75" t="s">
        <v>3439</v>
      </c>
      <c r="M563" s="75" t="s">
        <v>3439</v>
      </c>
    </row>
    <row r="564" spans="1:13" x14ac:dyDescent="0.2">
      <c r="A564" s="54">
        <v>563</v>
      </c>
      <c r="B564" s="57" t="s">
        <v>1</v>
      </c>
      <c r="C564" s="57" t="s">
        <v>2873</v>
      </c>
      <c r="D564" s="59" t="s">
        <v>1</v>
      </c>
      <c r="E564" s="57" t="s">
        <v>1</v>
      </c>
      <c r="F564" s="57" t="s">
        <v>1</v>
      </c>
      <c r="G564" s="57">
        <v>5.2084000000000001</v>
      </c>
      <c r="H564" s="57">
        <v>229.88550000000001</v>
      </c>
      <c r="I564" s="57">
        <v>231.8826</v>
      </c>
      <c r="J564" s="57">
        <v>233.87960000000001</v>
      </c>
      <c r="K564" s="57">
        <v>235.8793</v>
      </c>
      <c r="L564" s="75">
        <v>0</v>
      </c>
      <c r="M564" s="75" t="s">
        <v>1</v>
      </c>
    </row>
    <row r="565" spans="1:13" x14ac:dyDescent="0.2">
      <c r="A565" s="54">
        <v>564</v>
      </c>
      <c r="B565" s="57">
        <v>462</v>
      </c>
      <c r="C565" s="57" t="s">
        <v>2491</v>
      </c>
      <c r="D565" s="59" t="s">
        <v>2492</v>
      </c>
      <c r="E565" s="57" t="s">
        <v>2493</v>
      </c>
      <c r="F565" s="57">
        <v>161.9639</v>
      </c>
      <c r="G565" s="57">
        <v>10.438800000000001</v>
      </c>
      <c r="H565" s="57">
        <v>161.9633</v>
      </c>
      <c r="I565" s="57">
        <v>163.96029999999999</v>
      </c>
      <c r="J565" s="57">
        <v>97.991900000000001</v>
      </c>
      <c r="K565" s="57">
        <v>165.95750000000001</v>
      </c>
      <c r="L565" s="75" t="s">
        <v>503</v>
      </c>
      <c r="M565" s="75" t="s">
        <v>503</v>
      </c>
    </row>
    <row r="566" spans="1:13" x14ac:dyDescent="0.2">
      <c r="A566" s="54">
        <v>565</v>
      </c>
      <c r="B566" s="57">
        <v>463</v>
      </c>
      <c r="C566" s="57" t="s">
        <v>3075</v>
      </c>
      <c r="D566" s="59" t="s">
        <v>3076</v>
      </c>
      <c r="E566" s="57" t="s">
        <v>625</v>
      </c>
      <c r="F566" s="57">
        <v>302.18819999999999</v>
      </c>
      <c r="G566" s="57">
        <v>9.5806000000000004</v>
      </c>
      <c r="H566" s="57">
        <v>135.0805</v>
      </c>
      <c r="I566" s="57">
        <v>151.10730000000001</v>
      </c>
      <c r="J566" s="57">
        <v>123.1169</v>
      </c>
      <c r="K566" s="57">
        <v>303.19490000000002</v>
      </c>
      <c r="L566" s="75" t="s">
        <v>624</v>
      </c>
      <c r="M566" s="75" t="s">
        <v>624</v>
      </c>
    </row>
    <row r="567" spans="1:13" x14ac:dyDescent="0.2">
      <c r="A567" s="54">
        <v>566</v>
      </c>
      <c r="B567" s="57">
        <v>464</v>
      </c>
      <c r="C567" s="57" t="s">
        <v>2470</v>
      </c>
      <c r="D567" s="59" t="s">
        <v>3241</v>
      </c>
      <c r="E567" s="57" t="s">
        <v>2471</v>
      </c>
      <c r="F567" s="57">
        <v>187.9828</v>
      </c>
      <c r="G567" s="57">
        <v>12.8512</v>
      </c>
      <c r="H567" s="57">
        <v>187.98429999999999</v>
      </c>
      <c r="I567" s="57">
        <v>188.99209999999999</v>
      </c>
      <c r="J567" s="57">
        <v>171.9716</v>
      </c>
      <c r="K567" s="57">
        <v>190.98929999999999</v>
      </c>
      <c r="L567" s="75" t="s">
        <v>3617</v>
      </c>
      <c r="M567" s="76" t="s">
        <v>3399</v>
      </c>
    </row>
    <row r="568" spans="1:13" x14ac:dyDescent="0.2">
      <c r="A568" s="54">
        <v>567</v>
      </c>
      <c r="B568" s="57" t="s">
        <v>1</v>
      </c>
      <c r="C568" s="57" t="s">
        <v>2472</v>
      </c>
      <c r="D568" s="59" t="s">
        <v>1</v>
      </c>
      <c r="E568" s="57" t="s">
        <v>1</v>
      </c>
      <c r="F568" s="57" t="s">
        <v>1</v>
      </c>
      <c r="G568" s="57">
        <v>7.2455999999999996</v>
      </c>
      <c r="H568" s="57">
        <v>187.98429999999999</v>
      </c>
      <c r="I568" s="57">
        <v>188.99209999999999</v>
      </c>
      <c r="J568" s="57">
        <v>171.9716</v>
      </c>
      <c r="K568" s="57">
        <v>190.98929999999999</v>
      </c>
      <c r="L568" s="75">
        <v>0</v>
      </c>
      <c r="M568" s="75" t="s">
        <v>1</v>
      </c>
    </row>
    <row r="569" spans="1:13" x14ac:dyDescent="0.2">
      <c r="A569" s="54">
        <v>568</v>
      </c>
      <c r="B569" s="57">
        <v>465</v>
      </c>
      <c r="C569" s="57" t="s">
        <v>2319</v>
      </c>
      <c r="D569" s="59" t="s">
        <v>3199</v>
      </c>
      <c r="E569" s="57" t="s">
        <v>16</v>
      </c>
      <c r="F569" s="57">
        <v>142.01849999999999</v>
      </c>
      <c r="G569" s="57">
        <v>3.8048000000000002</v>
      </c>
      <c r="H569" s="57">
        <v>142.0179</v>
      </c>
      <c r="I569" s="57">
        <v>107.0491</v>
      </c>
      <c r="J569" s="57">
        <v>144.01499999999999</v>
      </c>
      <c r="K569" s="57">
        <v>108.05240000000001</v>
      </c>
      <c r="L569" s="75" t="s">
        <v>3618</v>
      </c>
      <c r="M569" s="75" t="s">
        <v>3618</v>
      </c>
    </row>
    <row r="570" spans="1:13" x14ac:dyDescent="0.2">
      <c r="A570" s="54">
        <v>569</v>
      </c>
      <c r="B570" s="57" t="s">
        <v>1</v>
      </c>
      <c r="C570" s="57" t="s">
        <v>2922</v>
      </c>
      <c r="D570" s="59" t="s">
        <v>1</v>
      </c>
      <c r="E570" s="57" t="s">
        <v>1</v>
      </c>
      <c r="F570" s="57" t="s">
        <v>1</v>
      </c>
      <c r="G570" s="57">
        <v>3.7841999999999998</v>
      </c>
      <c r="H570" s="57">
        <v>142.0179</v>
      </c>
      <c r="I570" s="57">
        <v>144.01490000000001</v>
      </c>
      <c r="J570" s="57">
        <v>135.08029999999999</v>
      </c>
      <c r="K570" s="57">
        <v>145.01830000000001</v>
      </c>
      <c r="L570" s="75">
        <v>0</v>
      </c>
      <c r="M570" s="75" t="s">
        <v>1</v>
      </c>
    </row>
    <row r="571" spans="1:13" x14ac:dyDescent="0.2">
      <c r="A571" s="54">
        <v>570</v>
      </c>
      <c r="B571" s="57">
        <v>466</v>
      </c>
      <c r="C571" s="57" t="s">
        <v>2857</v>
      </c>
      <c r="D571" s="59" t="s">
        <v>3278</v>
      </c>
      <c r="E571" s="57" t="s">
        <v>171</v>
      </c>
      <c r="F571" s="57">
        <v>116.0586</v>
      </c>
      <c r="G571" s="57">
        <v>7.4200999999999997</v>
      </c>
      <c r="H571" s="57">
        <v>116.0581</v>
      </c>
      <c r="I571" s="57">
        <v>99.0227</v>
      </c>
      <c r="J571" s="57">
        <v>98.015000000000001</v>
      </c>
      <c r="K571" s="57">
        <v>86.015000000000001</v>
      </c>
      <c r="L571" s="75" t="s">
        <v>170</v>
      </c>
      <c r="M571" s="75" t="s">
        <v>170</v>
      </c>
    </row>
    <row r="572" spans="1:13" x14ac:dyDescent="0.2">
      <c r="A572" s="54">
        <v>571</v>
      </c>
      <c r="B572" s="57">
        <v>467</v>
      </c>
      <c r="C572" s="57" t="s">
        <v>2107</v>
      </c>
      <c r="D572" s="59" t="s">
        <v>1263</v>
      </c>
      <c r="E572" s="57" t="s">
        <v>794</v>
      </c>
      <c r="F572" s="57">
        <v>216.06659999999999</v>
      </c>
      <c r="G572" s="57">
        <v>7.9874000000000001</v>
      </c>
      <c r="H572" s="57">
        <v>117.08629999999999</v>
      </c>
      <c r="I572" s="57">
        <v>217.0341</v>
      </c>
      <c r="J572" s="57">
        <v>216.06829999999999</v>
      </c>
      <c r="K572" s="57">
        <v>161.05969999999999</v>
      </c>
      <c r="L572" s="75" t="s">
        <v>793</v>
      </c>
      <c r="M572" s="75" t="s">
        <v>793</v>
      </c>
    </row>
    <row r="573" spans="1:13" x14ac:dyDescent="0.2">
      <c r="A573" s="54">
        <v>572</v>
      </c>
      <c r="B573" s="57" t="s">
        <v>1</v>
      </c>
      <c r="C573" s="57" t="s">
        <v>3061</v>
      </c>
      <c r="D573" s="59" t="s">
        <v>1</v>
      </c>
      <c r="E573" s="57" t="s">
        <v>1</v>
      </c>
      <c r="F573" s="57" t="s">
        <v>1</v>
      </c>
      <c r="G573" s="57">
        <v>13.4762</v>
      </c>
      <c r="H573" s="57">
        <v>216.06530000000001</v>
      </c>
      <c r="I573" s="57">
        <v>213.04640000000001</v>
      </c>
      <c r="J573" s="57">
        <v>214.0496</v>
      </c>
      <c r="K573" s="57">
        <v>215.06200000000001</v>
      </c>
      <c r="L573" s="75">
        <v>0</v>
      </c>
      <c r="M573" s="75" t="s">
        <v>1</v>
      </c>
    </row>
    <row r="574" spans="1:13" x14ac:dyDescent="0.2">
      <c r="A574" s="54">
        <v>573</v>
      </c>
      <c r="B574" s="57">
        <v>468</v>
      </c>
      <c r="C574" s="57" t="s">
        <v>2456</v>
      </c>
      <c r="D574" s="59" t="s">
        <v>3217</v>
      </c>
      <c r="E574" s="57" t="s">
        <v>633</v>
      </c>
      <c r="F574" s="57">
        <v>208.00579999999999</v>
      </c>
      <c r="G574" s="57">
        <v>6.6475</v>
      </c>
      <c r="H574" s="57">
        <v>173.07140000000001</v>
      </c>
      <c r="I574" s="57">
        <v>175.06389999999999</v>
      </c>
      <c r="J574" s="57">
        <v>207.0325</v>
      </c>
      <c r="K574" s="57">
        <v>129.00890000000001</v>
      </c>
      <c r="L574" s="75" t="s">
        <v>632</v>
      </c>
      <c r="M574" s="75" t="s">
        <v>632</v>
      </c>
    </row>
    <row r="575" spans="1:13" x14ac:dyDescent="0.2">
      <c r="A575" s="54">
        <v>574</v>
      </c>
      <c r="B575" s="57">
        <v>469</v>
      </c>
      <c r="C575" s="57" t="s">
        <v>2457</v>
      </c>
      <c r="D575" s="59" t="s">
        <v>3218</v>
      </c>
      <c r="E575" s="57" t="s">
        <v>636</v>
      </c>
      <c r="F575" s="57">
        <v>208.00579999999999</v>
      </c>
      <c r="G575" s="57">
        <v>6.6745000000000001</v>
      </c>
      <c r="H575" s="57">
        <v>173.07140000000001</v>
      </c>
      <c r="I575" s="57">
        <v>175.06389999999999</v>
      </c>
      <c r="J575" s="57">
        <v>207.0325</v>
      </c>
      <c r="K575" s="57">
        <v>129.00890000000001</v>
      </c>
      <c r="L575" s="75" t="s">
        <v>632</v>
      </c>
      <c r="M575" s="75" t="s">
        <v>632</v>
      </c>
    </row>
    <row r="576" spans="1:13" x14ac:dyDescent="0.2">
      <c r="A576" s="54">
        <v>575</v>
      </c>
      <c r="B576" s="57">
        <v>470</v>
      </c>
      <c r="C576" s="57" t="s">
        <v>1836</v>
      </c>
      <c r="D576" s="59" t="s">
        <v>1837</v>
      </c>
      <c r="E576" s="57" t="s">
        <v>1838</v>
      </c>
      <c r="F576" s="57">
        <v>621.54129999999998</v>
      </c>
      <c r="G576" s="57">
        <v>18.212399999999999</v>
      </c>
      <c r="H576" s="57">
        <v>467.69959999999998</v>
      </c>
      <c r="I576" s="57">
        <v>627.53679999999997</v>
      </c>
      <c r="J576" s="57">
        <v>546.61869999999999</v>
      </c>
      <c r="K576" s="57">
        <v>548.61670000000004</v>
      </c>
      <c r="L576" s="75" t="s">
        <v>3462</v>
      </c>
      <c r="M576" s="75" t="s">
        <v>3462</v>
      </c>
    </row>
    <row r="577" spans="1:13" x14ac:dyDescent="0.2">
      <c r="A577" s="54">
        <v>576</v>
      </c>
      <c r="B577" s="57">
        <v>471</v>
      </c>
      <c r="C577" s="57" t="s">
        <v>2108</v>
      </c>
      <c r="D577" s="59" t="s">
        <v>2109</v>
      </c>
      <c r="E577" s="57" t="s">
        <v>816</v>
      </c>
      <c r="F577" s="57">
        <v>229.10939999999999</v>
      </c>
      <c r="G577" s="57">
        <v>6.4394999999999998</v>
      </c>
      <c r="H577" s="57">
        <v>229.10890000000001</v>
      </c>
      <c r="I577" s="57">
        <v>214.08529999999999</v>
      </c>
      <c r="J577" s="57">
        <v>138.07749999999999</v>
      </c>
      <c r="K577" s="57">
        <v>216.08240000000001</v>
      </c>
      <c r="L577" s="75" t="s">
        <v>814</v>
      </c>
      <c r="M577" s="75" t="s">
        <v>814</v>
      </c>
    </row>
    <row r="578" spans="1:13" x14ac:dyDescent="0.2">
      <c r="A578" s="54">
        <v>577</v>
      </c>
      <c r="B578" s="57">
        <v>472</v>
      </c>
      <c r="C578" s="57" t="s">
        <v>3004</v>
      </c>
      <c r="D578" s="59" t="s">
        <v>3005</v>
      </c>
      <c r="E578" s="57" t="s">
        <v>187</v>
      </c>
      <c r="F578" s="57">
        <v>254.29740000000001</v>
      </c>
      <c r="G578" s="57">
        <v>6.5683999999999996</v>
      </c>
      <c r="H578" s="57">
        <v>85.101200000000006</v>
      </c>
      <c r="I578" s="57">
        <v>97.101200000000006</v>
      </c>
      <c r="J578" s="57">
        <v>111.1168</v>
      </c>
      <c r="K578" s="57">
        <v>125.13249999999999</v>
      </c>
      <c r="L578" s="75" t="s">
        <v>186</v>
      </c>
      <c r="M578" s="75" t="s">
        <v>186</v>
      </c>
    </row>
    <row r="579" spans="1:13" x14ac:dyDescent="0.2">
      <c r="A579" s="54">
        <v>578</v>
      </c>
      <c r="B579" s="57">
        <v>473</v>
      </c>
      <c r="C579" s="57" t="s">
        <v>2597</v>
      </c>
      <c r="D579" s="59" t="s">
        <v>3341</v>
      </c>
      <c r="E579" s="57" t="s">
        <v>540</v>
      </c>
      <c r="F579" s="57">
        <v>111.9847</v>
      </c>
      <c r="G579" s="57">
        <v>4.3453999999999997</v>
      </c>
      <c r="H579" s="57">
        <v>111.9845</v>
      </c>
      <c r="I579" s="57">
        <v>108.9841</v>
      </c>
      <c r="J579" s="57">
        <v>110.9811</v>
      </c>
      <c r="K579" s="57">
        <v>109.97920000000001</v>
      </c>
      <c r="L579" s="75" t="s">
        <v>175</v>
      </c>
      <c r="M579" s="75" t="s">
        <v>175</v>
      </c>
    </row>
    <row r="580" spans="1:13" x14ac:dyDescent="0.2">
      <c r="A580" s="54">
        <v>579</v>
      </c>
      <c r="B580" s="57">
        <v>474</v>
      </c>
      <c r="C580" s="57" t="s">
        <v>3053</v>
      </c>
      <c r="D580" s="59" t="s">
        <v>3342</v>
      </c>
      <c r="E580" s="57" t="s">
        <v>786</v>
      </c>
      <c r="F580" s="57">
        <v>329.10270000000003</v>
      </c>
      <c r="G580" s="57">
        <v>18.017700000000001</v>
      </c>
      <c r="H580" s="57">
        <v>328.09429999999998</v>
      </c>
      <c r="I580" s="57">
        <v>252.18270000000001</v>
      </c>
      <c r="J580" s="57">
        <v>309.1857</v>
      </c>
      <c r="K580" s="57">
        <v>329.10160000000002</v>
      </c>
      <c r="L580" s="75" t="s">
        <v>785</v>
      </c>
      <c r="M580" s="75" t="s">
        <v>785</v>
      </c>
    </row>
    <row r="581" spans="1:13" x14ac:dyDescent="0.2">
      <c r="A581" s="54">
        <v>580</v>
      </c>
      <c r="B581" s="57" t="s">
        <v>1</v>
      </c>
      <c r="C581" s="57" t="s">
        <v>2075</v>
      </c>
      <c r="D581" s="59" t="s">
        <v>1</v>
      </c>
      <c r="E581" s="57" t="s">
        <v>1</v>
      </c>
      <c r="F581" s="57" t="s">
        <v>1</v>
      </c>
      <c r="G581" s="57">
        <v>12.6905</v>
      </c>
      <c r="H581" s="57">
        <v>328.09629999999999</v>
      </c>
      <c r="I581" s="57">
        <v>329.09870000000001</v>
      </c>
      <c r="J581" s="57">
        <v>330.10550000000001</v>
      </c>
      <c r="K581" s="57">
        <v>331.11970000000002</v>
      </c>
      <c r="L581" s="75">
        <v>0</v>
      </c>
      <c r="M581" s="75" t="s">
        <v>1</v>
      </c>
    </row>
    <row r="582" spans="1:13" x14ac:dyDescent="0.2">
      <c r="A582" s="54">
        <v>581</v>
      </c>
      <c r="B582" s="57">
        <v>475</v>
      </c>
      <c r="C582" s="57" t="s">
        <v>2389</v>
      </c>
      <c r="D582" s="59" t="s">
        <v>2390</v>
      </c>
      <c r="E582" s="57" t="s">
        <v>659</v>
      </c>
      <c r="F582" s="57">
        <v>154.0395</v>
      </c>
      <c r="G582" s="57">
        <v>7.7484000000000002</v>
      </c>
      <c r="H582" s="57">
        <v>154.0403</v>
      </c>
      <c r="I582" s="57">
        <v>125.0421</v>
      </c>
      <c r="J582" s="57">
        <v>155.03280000000001</v>
      </c>
      <c r="K582" s="57">
        <v>139.05779999999999</v>
      </c>
      <c r="L582" s="75" t="s">
        <v>658</v>
      </c>
      <c r="M582" s="75" t="s">
        <v>658</v>
      </c>
    </row>
    <row r="583" spans="1:13" x14ac:dyDescent="0.2">
      <c r="A583" s="54">
        <v>582</v>
      </c>
      <c r="B583" s="57" t="s">
        <v>1</v>
      </c>
      <c r="C583" s="57" t="s">
        <v>2391</v>
      </c>
      <c r="D583" s="59" t="s">
        <v>1</v>
      </c>
      <c r="E583" s="57" t="s">
        <v>1</v>
      </c>
      <c r="F583" s="57" t="s">
        <v>1</v>
      </c>
      <c r="G583" s="57">
        <v>8.0660000000000007</v>
      </c>
      <c r="H583" s="57">
        <v>154.0403</v>
      </c>
      <c r="I583" s="57">
        <v>125.0421</v>
      </c>
      <c r="J583" s="57">
        <v>155.03280000000001</v>
      </c>
      <c r="K583" s="57">
        <v>139.05779999999999</v>
      </c>
      <c r="L583" s="75">
        <v>0</v>
      </c>
      <c r="M583" s="75" t="s">
        <v>1</v>
      </c>
    </row>
    <row r="584" spans="1:13" x14ac:dyDescent="0.2">
      <c r="A584" s="54">
        <v>583</v>
      </c>
      <c r="B584" s="57">
        <v>476</v>
      </c>
      <c r="C584" s="57" t="s">
        <v>2981</v>
      </c>
      <c r="D584" s="59" t="s">
        <v>2982</v>
      </c>
      <c r="E584" s="57" t="s">
        <v>68</v>
      </c>
      <c r="F584" s="57">
        <v>136.12520000000001</v>
      </c>
      <c r="G584" s="57">
        <v>5.1393000000000004</v>
      </c>
      <c r="H584" s="57">
        <v>136.12479999999999</v>
      </c>
      <c r="I584" s="57">
        <v>93.070099999999996</v>
      </c>
      <c r="J584" s="57">
        <v>141.1277</v>
      </c>
      <c r="K584" s="57">
        <v>154.13550000000001</v>
      </c>
      <c r="L584" s="75" t="s">
        <v>67</v>
      </c>
      <c r="M584" s="75" t="s">
        <v>67</v>
      </c>
    </row>
    <row r="585" spans="1:13" x14ac:dyDescent="0.2">
      <c r="A585" s="54">
        <v>584</v>
      </c>
      <c r="B585" s="57">
        <v>477</v>
      </c>
      <c r="C585" s="57" t="s">
        <v>2897</v>
      </c>
      <c r="D585" s="59" t="s">
        <v>1137</v>
      </c>
      <c r="E585" s="57" t="s">
        <v>383</v>
      </c>
      <c r="F585" s="57">
        <v>197.09530000000001</v>
      </c>
      <c r="G585" s="57">
        <v>7.1496000000000004</v>
      </c>
      <c r="H585" s="57">
        <v>197.096</v>
      </c>
      <c r="I585" s="57">
        <v>198.04990000000001</v>
      </c>
      <c r="J585" s="57">
        <v>167.04060000000001</v>
      </c>
      <c r="K585" s="57">
        <v>105.045</v>
      </c>
      <c r="L585" s="75" t="s">
        <v>382</v>
      </c>
      <c r="M585" s="75" t="s">
        <v>382</v>
      </c>
    </row>
    <row r="586" spans="1:13" x14ac:dyDescent="0.2">
      <c r="A586" s="54">
        <v>585</v>
      </c>
      <c r="B586" s="57">
        <v>478</v>
      </c>
      <c r="C586" s="57" t="s">
        <v>2824</v>
      </c>
      <c r="D586" s="59" t="s">
        <v>3343</v>
      </c>
      <c r="E586" s="57" t="s">
        <v>392</v>
      </c>
      <c r="F586" s="57">
        <v>225.1266</v>
      </c>
      <c r="G586" s="57">
        <v>10.6173</v>
      </c>
      <c r="H586" s="57">
        <v>225.126</v>
      </c>
      <c r="I586" s="57">
        <v>120.0809</v>
      </c>
      <c r="J586" s="57">
        <v>105.0574</v>
      </c>
      <c r="K586" s="57">
        <v>226.12979999999999</v>
      </c>
      <c r="L586" s="75"/>
      <c r="M586" s="75" t="s">
        <v>400</v>
      </c>
    </row>
    <row r="587" spans="1:13" x14ac:dyDescent="0.2">
      <c r="A587" s="54">
        <v>586</v>
      </c>
      <c r="B587" s="57">
        <v>479</v>
      </c>
      <c r="C587" s="57" t="s">
        <v>1746</v>
      </c>
      <c r="D587" s="59" t="s">
        <v>1747</v>
      </c>
      <c r="E587" s="57" t="s">
        <v>1748</v>
      </c>
      <c r="F587" s="57">
        <v>377.87060000000002</v>
      </c>
      <c r="G587" s="57">
        <v>11.1349</v>
      </c>
      <c r="H587" s="57">
        <v>342.90089999999998</v>
      </c>
      <c r="I587" s="57">
        <v>324.87200000000001</v>
      </c>
      <c r="J587" s="57">
        <v>242.953</v>
      </c>
      <c r="K587" s="57">
        <v>146.99979999999999</v>
      </c>
      <c r="L587" s="75" t="s">
        <v>3500</v>
      </c>
      <c r="M587" s="75" t="s">
        <v>3500</v>
      </c>
    </row>
    <row r="588" spans="1:13" x14ac:dyDescent="0.2">
      <c r="A588" s="54">
        <v>587</v>
      </c>
      <c r="B588" s="57" t="s">
        <v>1</v>
      </c>
      <c r="C588" s="57" t="s">
        <v>1907</v>
      </c>
      <c r="D588" s="59" t="s">
        <v>1</v>
      </c>
      <c r="E588" s="57" t="s">
        <v>1</v>
      </c>
      <c r="F588" s="57" t="s">
        <v>1</v>
      </c>
      <c r="G588" s="57">
        <v>9.7655999999999992</v>
      </c>
      <c r="H588" s="57">
        <v>377.8691</v>
      </c>
      <c r="I588" s="57">
        <v>376.86579999999998</v>
      </c>
      <c r="J588" s="57">
        <v>260.85480000000001</v>
      </c>
      <c r="K588" s="57">
        <v>241.89359999999999</v>
      </c>
      <c r="L588" s="75">
        <v>0</v>
      </c>
      <c r="M588" s="75" t="s">
        <v>1</v>
      </c>
    </row>
    <row r="589" spans="1:13" x14ac:dyDescent="0.2">
      <c r="A589" s="54">
        <v>588</v>
      </c>
      <c r="B589" s="57">
        <v>480</v>
      </c>
      <c r="C589" s="57" t="s">
        <v>2067</v>
      </c>
      <c r="D589" s="59" t="s">
        <v>2068</v>
      </c>
      <c r="E589" s="57" t="s">
        <v>2069</v>
      </c>
      <c r="F589" s="57">
        <v>330.03269999999998</v>
      </c>
      <c r="G589" s="57">
        <v>14.8582</v>
      </c>
      <c r="H589" s="57">
        <v>330.03210000000001</v>
      </c>
      <c r="I589" s="57">
        <v>138.99440000000001</v>
      </c>
      <c r="J589" s="57">
        <v>107.0239</v>
      </c>
      <c r="K589" s="57">
        <v>140.9914</v>
      </c>
      <c r="L589" s="75" t="s">
        <v>3484</v>
      </c>
      <c r="M589" s="75" t="s">
        <v>3484</v>
      </c>
    </row>
    <row r="590" spans="1:13" x14ac:dyDescent="0.2">
      <c r="A590" s="54">
        <v>589</v>
      </c>
      <c r="B590" s="57" t="s">
        <v>1</v>
      </c>
      <c r="C590" s="57" t="s">
        <v>3052</v>
      </c>
      <c r="D590" s="59" t="s">
        <v>1</v>
      </c>
      <c r="E590" s="57" t="s">
        <v>1</v>
      </c>
      <c r="F590" s="57" t="s">
        <v>1</v>
      </c>
      <c r="G590" s="57">
        <v>14.8561</v>
      </c>
      <c r="H590" s="57">
        <v>138.99459999999999</v>
      </c>
      <c r="I590" s="57">
        <v>107.0241</v>
      </c>
      <c r="J590" s="57">
        <v>219.03200000000001</v>
      </c>
      <c r="K590" s="57">
        <v>221.0291</v>
      </c>
      <c r="L590" s="75">
        <v>0</v>
      </c>
      <c r="M590" s="75" t="s">
        <v>1</v>
      </c>
    </row>
    <row r="591" spans="1:13" x14ac:dyDescent="0.2">
      <c r="A591" s="54">
        <v>590</v>
      </c>
      <c r="B591" s="57">
        <v>481</v>
      </c>
      <c r="C591" s="57" t="s">
        <v>1708</v>
      </c>
      <c r="D591" s="59" t="s">
        <v>1709</v>
      </c>
      <c r="E591" s="57" t="s">
        <v>1710</v>
      </c>
      <c r="F591" s="57">
        <v>559.62599999999998</v>
      </c>
      <c r="G591" s="57">
        <v>17.804200000000002</v>
      </c>
      <c r="H591" s="57">
        <v>403.78629999999998</v>
      </c>
      <c r="I591" s="57">
        <v>405.78410000000002</v>
      </c>
      <c r="J591" s="57">
        <v>563.62199999999996</v>
      </c>
      <c r="K591" s="57">
        <v>565.62</v>
      </c>
      <c r="L591" s="75" t="s">
        <v>339</v>
      </c>
      <c r="M591" s="75" t="s">
        <v>339</v>
      </c>
    </row>
    <row r="592" spans="1:13" x14ac:dyDescent="0.2">
      <c r="A592" s="54">
        <v>591</v>
      </c>
      <c r="B592" s="57">
        <v>482</v>
      </c>
      <c r="C592" s="57" t="s">
        <v>2026</v>
      </c>
      <c r="D592" s="59" t="s">
        <v>3212</v>
      </c>
      <c r="E592" s="57" t="s">
        <v>556</v>
      </c>
      <c r="F592" s="57">
        <v>149.08410000000001</v>
      </c>
      <c r="G592" s="57">
        <v>4.875</v>
      </c>
      <c r="H592" s="57">
        <v>149.08359999999999</v>
      </c>
      <c r="I592" s="57">
        <v>120.0806</v>
      </c>
      <c r="J592" s="57">
        <v>121.0883</v>
      </c>
      <c r="K592" s="57">
        <v>106.06489999999999</v>
      </c>
      <c r="L592" s="75" t="s">
        <v>555</v>
      </c>
      <c r="M592" s="75" t="s">
        <v>555</v>
      </c>
    </row>
    <row r="593" spans="1:13" x14ac:dyDescent="0.2">
      <c r="A593" s="54">
        <v>592</v>
      </c>
      <c r="B593" s="57">
        <v>483</v>
      </c>
      <c r="C593" s="57" t="s">
        <v>2257</v>
      </c>
      <c r="D593" s="59" t="s">
        <v>3344</v>
      </c>
      <c r="E593" s="57" t="s">
        <v>353</v>
      </c>
      <c r="F593" s="57">
        <v>182.03280000000001</v>
      </c>
      <c r="G593" s="57">
        <v>5.0972999999999997</v>
      </c>
      <c r="H593" s="57">
        <v>165.02940000000001</v>
      </c>
      <c r="I593" s="57">
        <v>119.0367</v>
      </c>
      <c r="J593" s="57">
        <v>90.034099999999995</v>
      </c>
      <c r="K593" s="57">
        <v>89.042000000000002</v>
      </c>
      <c r="L593" s="75" t="s">
        <v>352</v>
      </c>
      <c r="M593" s="75" t="s">
        <v>352</v>
      </c>
    </row>
    <row r="594" spans="1:13" x14ac:dyDescent="0.2">
      <c r="A594" s="54">
        <v>593</v>
      </c>
      <c r="B594" s="57" t="s">
        <v>1</v>
      </c>
      <c r="C594" s="57" t="s">
        <v>2936</v>
      </c>
      <c r="D594" s="59" t="s">
        <v>1</v>
      </c>
      <c r="E594" s="57" t="s">
        <v>1</v>
      </c>
      <c r="F594" s="57" t="s">
        <v>1</v>
      </c>
      <c r="G594" s="57">
        <v>5.4683000000000002</v>
      </c>
      <c r="H594" s="57">
        <v>182.03210000000001</v>
      </c>
      <c r="I594" s="57">
        <v>165.02930000000001</v>
      </c>
      <c r="J594" s="57">
        <v>119.0365</v>
      </c>
      <c r="K594" s="57">
        <v>108.0205</v>
      </c>
      <c r="L594" s="75">
        <v>0</v>
      </c>
      <c r="M594" s="75" t="s">
        <v>1</v>
      </c>
    </row>
    <row r="595" spans="1:13" x14ac:dyDescent="0.2">
      <c r="A595" s="54">
        <v>594</v>
      </c>
      <c r="B595" s="57">
        <v>484</v>
      </c>
      <c r="C595" s="57" t="s">
        <v>1587</v>
      </c>
      <c r="D595" s="59" t="s">
        <v>1588</v>
      </c>
      <c r="E595" s="57" t="s">
        <v>1589</v>
      </c>
      <c r="F595" s="57">
        <v>483.59440000000001</v>
      </c>
      <c r="G595" s="57">
        <v>11.6289</v>
      </c>
      <c r="H595" s="57">
        <v>487.5915</v>
      </c>
      <c r="I595" s="57">
        <v>489.58909999999997</v>
      </c>
      <c r="J595" s="57">
        <v>485.59339999999997</v>
      </c>
      <c r="K595" s="57">
        <v>491.58749999999998</v>
      </c>
      <c r="L595" s="75" t="s">
        <v>3619</v>
      </c>
      <c r="M595" s="75" t="s">
        <v>3619</v>
      </c>
    </row>
    <row r="596" spans="1:13" x14ac:dyDescent="0.2">
      <c r="A596" s="54">
        <v>595</v>
      </c>
      <c r="B596" s="57">
        <v>485</v>
      </c>
      <c r="C596" s="57" t="s">
        <v>2860</v>
      </c>
      <c r="D596" s="59" t="s">
        <v>1459</v>
      </c>
      <c r="E596" s="57" t="s">
        <v>148</v>
      </c>
      <c r="F596" s="57">
        <v>247.85210000000001</v>
      </c>
      <c r="G596" s="57">
        <v>4.9859</v>
      </c>
      <c r="H596" s="57">
        <v>247.8519</v>
      </c>
      <c r="I596" s="57">
        <v>249.8493</v>
      </c>
      <c r="J596" s="57">
        <v>251.84639999999999</v>
      </c>
      <c r="K596" s="57">
        <v>253.8434</v>
      </c>
      <c r="L596" s="75" t="s">
        <v>147</v>
      </c>
      <c r="M596" s="75" t="s">
        <v>147</v>
      </c>
    </row>
    <row r="597" spans="1:13" x14ac:dyDescent="0.2">
      <c r="A597" s="54">
        <v>596</v>
      </c>
      <c r="B597" s="57">
        <v>486</v>
      </c>
      <c r="C597" s="57" t="s">
        <v>1818</v>
      </c>
      <c r="D597" s="59" t="s">
        <v>1819</v>
      </c>
      <c r="E597" s="57" t="s">
        <v>1820</v>
      </c>
      <c r="F597" s="57">
        <v>371.82369999999997</v>
      </c>
      <c r="G597" s="57">
        <v>16.984000000000002</v>
      </c>
      <c r="H597" s="57">
        <v>373.82130000000001</v>
      </c>
      <c r="I597" s="57">
        <v>375.81819999999999</v>
      </c>
      <c r="J597" s="57">
        <v>371.82409999999999</v>
      </c>
      <c r="K597" s="57">
        <v>377.81509999999997</v>
      </c>
      <c r="L597" s="75" t="s">
        <v>3431</v>
      </c>
      <c r="M597" s="75" t="s">
        <v>3431</v>
      </c>
    </row>
    <row r="598" spans="1:13" x14ac:dyDescent="0.2">
      <c r="A598" s="54">
        <v>597</v>
      </c>
      <c r="B598" s="57">
        <v>487</v>
      </c>
      <c r="C598" s="57" t="s">
        <v>2662</v>
      </c>
      <c r="D598" s="59" t="s">
        <v>2663</v>
      </c>
      <c r="E598" s="57" t="s">
        <v>2664</v>
      </c>
      <c r="F598" s="57">
        <v>201.97810000000001</v>
      </c>
      <c r="G598" s="57">
        <v>5.2443999999999997</v>
      </c>
      <c r="H598" s="57">
        <v>201.97749999999999</v>
      </c>
      <c r="I598" s="57">
        <v>203.97460000000001</v>
      </c>
      <c r="J598" s="57">
        <v>109.9918</v>
      </c>
      <c r="K598" s="57">
        <v>204.97800000000001</v>
      </c>
      <c r="L598" s="75" t="s">
        <v>3620</v>
      </c>
      <c r="M598" s="75" t="s">
        <v>3620</v>
      </c>
    </row>
    <row r="599" spans="1:13" x14ac:dyDescent="0.2">
      <c r="A599" s="54">
        <v>598</v>
      </c>
      <c r="B599" s="57">
        <v>488</v>
      </c>
      <c r="C599" s="57" t="s">
        <v>2674</v>
      </c>
      <c r="D599" s="59" t="s">
        <v>2675</v>
      </c>
      <c r="E599" s="57" t="s">
        <v>2676</v>
      </c>
      <c r="F599" s="57">
        <v>190.95410000000001</v>
      </c>
      <c r="G599" s="57">
        <v>3.9941</v>
      </c>
      <c r="H599" s="57">
        <v>190.95359999999999</v>
      </c>
      <c r="I599" s="57">
        <v>191.95689999999999</v>
      </c>
      <c r="J599" s="57">
        <v>132.96080000000001</v>
      </c>
      <c r="K599" s="57">
        <v>134.95779999999999</v>
      </c>
      <c r="L599" s="75" t="s">
        <v>546</v>
      </c>
      <c r="M599" s="75" t="s">
        <v>546</v>
      </c>
    </row>
    <row r="600" spans="1:13" x14ac:dyDescent="0.2">
      <c r="A600" s="54">
        <v>599</v>
      </c>
      <c r="B600" s="57">
        <v>489</v>
      </c>
      <c r="C600" s="57" t="s">
        <v>2419</v>
      </c>
      <c r="D600" s="59" t="s">
        <v>3242</v>
      </c>
      <c r="E600" s="57" t="s">
        <v>2420</v>
      </c>
      <c r="F600" s="57">
        <v>326.00080000000003</v>
      </c>
      <c r="G600" s="57">
        <v>7.8235000000000001</v>
      </c>
      <c r="H600" s="57">
        <v>123.9949</v>
      </c>
      <c r="I600" s="57">
        <v>124.99209999999999</v>
      </c>
      <c r="J600" s="57">
        <v>125.992</v>
      </c>
      <c r="K600" s="57">
        <v>98.981099999999998</v>
      </c>
      <c r="L600" s="75" t="s">
        <v>326</v>
      </c>
      <c r="M600" s="75" t="s">
        <v>326</v>
      </c>
    </row>
    <row r="601" spans="1:13" x14ac:dyDescent="0.2">
      <c r="A601" s="54">
        <v>600</v>
      </c>
      <c r="B601" s="57">
        <v>490</v>
      </c>
      <c r="C601" s="57" t="s">
        <v>2881</v>
      </c>
      <c r="D601" s="59" t="s">
        <v>1112</v>
      </c>
      <c r="E601" s="57" t="s">
        <v>385</v>
      </c>
      <c r="F601" s="57">
        <v>138.07929999999999</v>
      </c>
      <c r="G601" s="57">
        <v>5.4728000000000003</v>
      </c>
      <c r="H601" s="57">
        <v>138.07900000000001</v>
      </c>
      <c r="I601" s="57">
        <v>123.05540000000001</v>
      </c>
      <c r="J601" s="57">
        <v>122.0603</v>
      </c>
      <c r="K601" s="57">
        <v>139.0754</v>
      </c>
      <c r="L601" s="75" t="s">
        <v>384</v>
      </c>
      <c r="M601" s="75" t="s">
        <v>384</v>
      </c>
    </row>
    <row r="602" spans="1:13" x14ac:dyDescent="0.2">
      <c r="A602" s="54">
        <v>601</v>
      </c>
      <c r="B602" s="57">
        <v>491</v>
      </c>
      <c r="C602" s="57" t="s">
        <v>2677</v>
      </c>
      <c r="D602" s="59" t="s">
        <v>3345</v>
      </c>
      <c r="E602" s="57" t="s">
        <v>548</v>
      </c>
      <c r="F602" s="57">
        <v>190.95410000000001</v>
      </c>
      <c r="G602" s="57">
        <v>4.1894999999999998</v>
      </c>
      <c r="H602" s="57">
        <v>190.95359999999999</v>
      </c>
      <c r="I602" s="57">
        <v>191.95689999999999</v>
      </c>
      <c r="J602" s="57">
        <v>132.96080000000001</v>
      </c>
      <c r="K602" s="57">
        <v>134.95779999999999</v>
      </c>
      <c r="L602" s="75" t="s">
        <v>546</v>
      </c>
      <c r="M602" s="75" t="s">
        <v>546</v>
      </c>
    </row>
    <row r="603" spans="1:13" x14ac:dyDescent="0.2">
      <c r="A603" s="54">
        <v>602</v>
      </c>
      <c r="B603" s="57">
        <v>492</v>
      </c>
      <c r="C603" s="57" t="s">
        <v>3097</v>
      </c>
      <c r="D603" s="59" t="s">
        <v>3098</v>
      </c>
      <c r="E603" s="57" t="s">
        <v>619</v>
      </c>
      <c r="F603" s="57">
        <v>390.07889999999998</v>
      </c>
      <c r="G603" s="57">
        <v>15.987299999999999</v>
      </c>
      <c r="H603" s="57">
        <v>183.0804</v>
      </c>
      <c r="I603" s="57">
        <v>168.05699999999999</v>
      </c>
      <c r="J603" s="57">
        <v>127.03100000000001</v>
      </c>
      <c r="K603" s="57">
        <v>153.06989999999999</v>
      </c>
      <c r="L603" s="75" t="s">
        <v>617</v>
      </c>
      <c r="M603" s="75" t="s">
        <v>617</v>
      </c>
    </row>
    <row r="604" spans="1:13" x14ac:dyDescent="0.2">
      <c r="A604" s="54">
        <v>603</v>
      </c>
      <c r="B604" s="57">
        <v>493</v>
      </c>
      <c r="C604" s="57" t="s">
        <v>3099</v>
      </c>
      <c r="D604" s="59" t="s">
        <v>3160</v>
      </c>
      <c r="E604" s="57" t="s">
        <v>618</v>
      </c>
      <c r="F604" s="57">
        <v>390.07889999999998</v>
      </c>
      <c r="G604" s="57">
        <v>16.2041</v>
      </c>
      <c r="H604" s="57">
        <v>183.0804</v>
      </c>
      <c r="I604" s="57">
        <v>168.05699999999999</v>
      </c>
      <c r="J604" s="57">
        <v>127.03100000000001</v>
      </c>
      <c r="K604" s="57">
        <v>153.06989999999999</v>
      </c>
      <c r="L604" s="75" t="s">
        <v>617</v>
      </c>
      <c r="M604" s="75" t="s">
        <v>617</v>
      </c>
    </row>
    <row r="605" spans="1:13" x14ac:dyDescent="0.2">
      <c r="A605" s="54">
        <v>604</v>
      </c>
      <c r="B605" s="57">
        <v>494</v>
      </c>
      <c r="C605" s="57" t="s">
        <v>2865</v>
      </c>
      <c r="D605" s="59" t="s">
        <v>1368</v>
      </c>
      <c r="E605" s="57" t="s">
        <v>45</v>
      </c>
      <c r="F605" s="57">
        <v>179.09460000000001</v>
      </c>
      <c r="G605" s="57">
        <v>6.3110999999999997</v>
      </c>
      <c r="H605" s="57">
        <v>180.1019</v>
      </c>
      <c r="I605" s="57">
        <v>178.08629999999999</v>
      </c>
      <c r="J605" s="57">
        <v>113.09610000000001</v>
      </c>
      <c r="K605" s="57">
        <v>179.0941</v>
      </c>
      <c r="L605" s="75" t="s">
        <v>44</v>
      </c>
      <c r="M605" s="75" t="s">
        <v>44</v>
      </c>
    </row>
    <row r="606" spans="1:13" x14ac:dyDescent="0.2">
      <c r="A606" s="54">
        <v>605</v>
      </c>
      <c r="B606" s="57">
        <v>495</v>
      </c>
      <c r="C606" s="57" t="s">
        <v>2832</v>
      </c>
      <c r="D606" s="59" t="s">
        <v>2833</v>
      </c>
      <c r="E606" s="57" t="s">
        <v>2834</v>
      </c>
      <c r="F606" s="57">
        <v>124.0194</v>
      </c>
      <c r="G606" s="57">
        <v>5.7328000000000001</v>
      </c>
      <c r="H606" s="57">
        <v>124.01949999999999</v>
      </c>
      <c r="I606" s="57">
        <v>125.0198</v>
      </c>
      <c r="J606" s="57">
        <v>126.0151</v>
      </c>
      <c r="K606" s="57">
        <v>123.00409999999999</v>
      </c>
      <c r="L606" s="75" t="s">
        <v>3495</v>
      </c>
      <c r="M606" s="75" t="s">
        <v>3495</v>
      </c>
    </row>
    <row r="607" spans="1:13" x14ac:dyDescent="0.2">
      <c r="A607" s="54">
        <v>606</v>
      </c>
      <c r="B607" s="57" t="s">
        <v>1</v>
      </c>
      <c r="C607" s="57" t="s">
        <v>2835</v>
      </c>
      <c r="D607" s="59" t="s">
        <v>1</v>
      </c>
      <c r="E607" s="57" t="s">
        <v>1</v>
      </c>
      <c r="F607" s="57" t="s">
        <v>1</v>
      </c>
      <c r="G607" s="57">
        <v>5.7013999999999996</v>
      </c>
      <c r="H607" s="57">
        <v>124.01949999999999</v>
      </c>
      <c r="I607" s="57">
        <v>125.0198</v>
      </c>
      <c r="J607" s="57">
        <v>126.0151</v>
      </c>
      <c r="K607" s="57">
        <v>123.00409999999999</v>
      </c>
      <c r="L607" s="75">
        <v>0</v>
      </c>
      <c r="M607" s="75" t="s">
        <v>1</v>
      </c>
    </row>
    <row r="608" spans="1:13" x14ac:dyDescent="0.2">
      <c r="A608" s="54">
        <v>607</v>
      </c>
      <c r="B608" s="57" t="s">
        <v>1</v>
      </c>
      <c r="C608" s="57" t="s">
        <v>2836</v>
      </c>
      <c r="D608" s="59" t="s">
        <v>1</v>
      </c>
      <c r="E608" s="57" t="s">
        <v>1</v>
      </c>
      <c r="F608" s="57" t="s">
        <v>1</v>
      </c>
      <c r="G608" s="57">
        <v>5.6138000000000003</v>
      </c>
      <c r="H608" s="57">
        <v>124.01949999999999</v>
      </c>
      <c r="I608" s="57">
        <v>125.0198</v>
      </c>
      <c r="J608" s="57">
        <v>126.0151</v>
      </c>
      <c r="K608" s="57">
        <v>123.00409999999999</v>
      </c>
      <c r="L608" s="75">
        <v>0</v>
      </c>
      <c r="M608" s="75" t="s">
        <v>1</v>
      </c>
    </row>
    <row r="609" spans="1:13" x14ac:dyDescent="0.2">
      <c r="A609" s="54">
        <v>608</v>
      </c>
      <c r="B609" s="57">
        <v>496</v>
      </c>
      <c r="C609" s="57" t="s">
        <v>2278</v>
      </c>
      <c r="D609" s="59" t="s">
        <v>2279</v>
      </c>
      <c r="E609" s="57" t="s">
        <v>407</v>
      </c>
      <c r="F609" s="57">
        <v>93.058000000000007</v>
      </c>
      <c r="G609" s="57">
        <v>9.9282000000000004</v>
      </c>
      <c r="H609" s="57">
        <v>93.057400000000001</v>
      </c>
      <c r="I609" s="57">
        <v>94.060699999999997</v>
      </c>
      <c r="J609" s="57">
        <v>92.049599999999998</v>
      </c>
      <c r="K609" s="57">
        <v>95.029200000000003</v>
      </c>
      <c r="L609" s="75" t="s">
        <v>3607</v>
      </c>
      <c r="M609" s="75" t="s">
        <v>3607</v>
      </c>
    </row>
    <row r="610" spans="1:13" x14ac:dyDescent="0.2">
      <c r="A610" s="54">
        <v>609</v>
      </c>
      <c r="B610" s="57">
        <v>497</v>
      </c>
      <c r="C610" s="57" t="s">
        <v>3049</v>
      </c>
      <c r="D610" s="59" t="s">
        <v>3050</v>
      </c>
      <c r="E610" s="57" t="s">
        <v>3051</v>
      </c>
      <c r="F610" s="57">
        <v>219.94589999999999</v>
      </c>
      <c r="G610" s="57">
        <v>5.9794</v>
      </c>
      <c r="H610" s="57">
        <v>108.9654</v>
      </c>
      <c r="I610" s="57">
        <v>219.863</v>
      </c>
      <c r="J610" s="57">
        <v>144.9375</v>
      </c>
      <c r="K610" s="57">
        <v>184.95320000000001</v>
      </c>
      <c r="L610" s="75" t="s">
        <v>3621</v>
      </c>
      <c r="M610" s="75" t="s">
        <v>3621</v>
      </c>
    </row>
    <row r="611" spans="1:13" x14ac:dyDescent="0.2">
      <c r="A611" s="54">
        <v>610</v>
      </c>
      <c r="B611" s="57">
        <v>498</v>
      </c>
      <c r="C611" s="57" t="s">
        <v>2724</v>
      </c>
      <c r="D611" s="59" t="s">
        <v>3207</v>
      </c>
      <c r="E611" s="57" t="s">
        <v>550</v>
      </c>
      <c r="F611" s="57">
        <v>215.0582</v>
      </c>
      <c r="G611" s="57">
        <v>7.2253999999999996</v>
      </c>
      <c r="H611" s="57">
        <v>215.0573</v>
      </c>
      <c r="I611" s="57">
        <v>216.0607</v>
      </c>
      <c r="J611" s="57">
        <v>217.06299999999999</v>
      </c>
      <c r="K611" s="57">
        <v>218.0651</v>
      </c>
      <c r="L611" s="75" t="s">
        <v>549</v>
      </c>
      <c r="M611" s="75" t="s">
        <v>549</v>
      </c>
    </row>
    <row r="612" spans="1:13" x14ac:dyDescent="0.2">
      <c r="A612" s="54">
        <v>611</v>
      </c>
      <c r="B612" s="57">
        <v>499</v>
      </c>
      <c r="C612" s="57" t="s">
        <v>2499</v>
      </c>
      <c r="D612" s="59" t="s">
        <v>3346</v>
      </c>
      <c r="E612" s="57" t="s">
        <v>239</v>
      </c>
      <c r="F612" s="57">
        <v>200.08369999999999</v>
      </c>
      <c r="G612" s="57">
        <v>18.587299999999999</v>
      </c>
      <c r="H612" s="57">
        <v>200.083</v>
      </c>
      <c r="I612" s="57">
        <v>191.10210000000001</v>
      </c>
      <c r="J612" s="57">
        <v>201.0908</v>
      </c>
      <c r="K612" s="57">
        <v>199.07509999999999</v>
      </c>
      <c r="L612" s="75" t="s">
        <v>238</v>
      </c>
      <c r="M612" s="75" t="s">
        <v>238</v>
      </c>
    </row>
    <row r="613" spans="1:13" x14ac:dyDescent="0.2">
      <c r="A613" s="54">
        <v>612</v>
      </c>
      <c r="B613" s="57">
        <v>500</v>
      </c>
      <c r="C613" s="57" t="s">
        <v>2959</v>
      </c>
      <c r="D613" s="59" t="s">
        <v>3347</v>
      </c>
      <c r="E613" s="57" t="s">
        <v>209</v>
      </c>
      <c r="F613" s="57">
        <v>130.11060000000001</v>
      </c>
      <c r="G613" s="57">
        <v>4.1265999999999998</v>
      </c>
      <c r="H613" s="57">
        <v>130.1113</v>
      </c>
      <c r="I613" s="57">
        <v>128.107</v>
      </c>
      <c r="J613" s="57">
        <v>132.08420000000001</v>
      </c>
      <c r="K613" s="57">
        <v>129.1103</v>
      </c>
      <c r="L613" s="75" t="s">
        <v>208</v>
      </c>
      <c r="M613" s="75" t="s">
        <v>208</v>
      </c>
    </row>
    <row r="614" spans="1:13" x14ac:dyDescent="0.2">
      <c r="A614" s="54">
        <v>613</v>
      </c>
      <c r="B614" s="57" t="s">
        <v>1</v>
      </c>
      <c r="C614" s="57" t="s">
        <v>2238</v>
      </c>
      <c r="D614" s="59" t="s">
        <v>1</v>
      </c>
      <c r="E614" s="57" t="s">
        <v>1</v>
      </c>
      <c r="F614" s="57" t="s">
        <v>1</v>
      </c>
      <c r="G614" s="57">
        <v>4.1208999999999998</v>
      </c>
      <c r="H614" s="57">
        <v>130.1114</v>
      </c>
      <c r="I614" s="57">
        <v>128.1071</v>
      </c>
      <c r="J614" s="57">
        <v>133.08770000000001</v>
      </c>
      <c r="K614" s="57">
        <v>132.08439999999999</v>
      </c>
      <c r="L614" s="75">
        <v>0</v>
      </c>
      <c r="M614" s="75" t="s">
        <v>1</v>
      </c>
    </row>
    <row r="615" spans="1:13" x14ac:dyDescent="0.2">
      <c r="A615" s="54">
        <v>614</v>
      </c>
      <c r="B615" s="57" t="s">
        <v>1</v>
      </c>
      <c r="C615" s="57" t="s">
        <v>2240</v>
      </c>
      <c r="D615" s="59" t="s">
        <v>1</v>
      </c>
      <c r="E615" s="57" t="s">
        <v>1</v>
      </c>
      <c r="F615" s="57" t="s">
        <v>1</v>
      </c>
      <c r="G615" s="57">
        <v>4.6787000000000001</v>
      </c>
      <c r="H615" s="57">
        <v>130.1114</v>
      </c>
      <c r="I615" s="57">
        <v>128.1071</v>
      </c>
      <c r="J615" s="57">
        <v>133.08770000000001</v>
      </c>
      <c r="K615" s="57">
        <v>132.08439999999999</v>
      </c>
      <c r="L615" s="75">
        <v>0</v>
      </c>
      <c r="M615" s="75" t="s">
        <v>1</v>
      </c>
    </row>
    <row r="616" spans="1:13" x14ac:dyDescent="0.2">
      <c r="A616" s="54">
        <v>615</v>
      </c>
      <c r="B616" s="57" t="s">
        <v>1</v>
      </c>
      <c r="C616" s="57" t="s">
        <v>2241</v>
      </c>
      <c r="D616" s="59" t="s">
        <v>1</v>
      </c>
      <c r="E616" s="57" t="s">
        <v>1</v>
      </c>
      <c r="F616" s="57" t="s">
        <v>1</v>
      </c>
      <c r="G616" s="57">
        <v>4.5945999999999998</v>
      </c>
      <c r="H616" s="57">
        <v>130.1114</v>
      </c>
      <c r="I616" s="57">
        <v>128.1071</v>
      </c>
      <c r="J616" s="57">
        <v>133.08770000000001</v>
      </c>
      <c r="K616" s="57">
        <v>132.08439999999999</v>
      </c>
      <c r="L616" s="75">
        <v>0</v>
      </c>
      <c r="M616" s="75" t="s">
        <v>1</v>
      </c>
    </row>
    <row r="617" spans="1:13" x14ac:dyDescent="0.2">
      <c r="A617" s="54">
        <v>616</v>
      </c>
      <c r="B617" s="57">
        <v>501</v>
      </c>
      <c r="C617" s="57" t="s">
        <v>2186</v>
      </c>
      <c r="D617" s="59" t="s">
        <v>2187</v>
      </c>
      <c r="E617" s="57" t="s">
        <v>2188</v>
      </c>
      <c r="F617" s="57">
        <v>240.02209999999999</v>
      </c>
      <c r="G617" s="57">
        <v>4.8593000000000002</v>
      </c>
      <c r="H617" s="57">
        <v>240.02170000000001</v>
      </c>
      <c r="I617" s="57">
        <v>180.00040000000001</v>
      </c>
      <c r="J617" s="57">
        <v>207.99549999999999</v>
      </c>
      <c r="K617" s="57">
        <v>124.98180000000001</v>
      </c>
      <c r="L617" s="75" t="s">
        <v>3479</v>
      </c>
      <c r="M617" s="75" t="s">
        <v>3479</v>
      </c>
    </row>
    <row r="618" spans="1:13" x14ac:dyDescent="0.2">
      <c r="A618" s="54">
        <v>617</v>
      </c>
      <c r="B618" s="57">
        <v>502</v>
      </c>
      <c r="C618" s="57" t="s">
        <v>2787</v>
      </c>
      <c r="D618" s="59" t="s">
        <v>3544</v>
      </c>
      <c r="E618" s="57" t="s">
        <v>93</v>
      </c>
      <c r="F618" s="57">
        <v>214.19329999999999</v>
      </c>
      <c r="G618" s="57">
        <v>4.8291000000000004</v>
      </c>
      <c r="H618" s="57">
        <v>214.1926</v>
      </c>
      <c r="I618" s="57">
        <v>101.05970000000001</v>
      </c>
      <c r="J618" s="57">
        <v>115.0753</v>
      </c>
      <c r="K618" s="57">
        <v>87.043999999999997</v>
      </c>
      <c r="L618" s="75" t="s">
        <v>92</v>
      </c>
      <c r="M618" s="75" t="s">
        <v>92</v>
      </c>
    </row>
    <row r="619" spans="1:13" x14ac:dyDescent="0.2">
      <c r="A619" s="54">
        <v>618</v>
      </c>
      <c r="B619" s="57">
        <v>503</v>
      </c>
      <c r="C619" s="57" t="s">
        <v>2792</v>
      </c>
      <c r="D619" s="59" t="s">
        <v>1145</v>
      </c>
      <c r="E619" s="57" t="s">
        <v>130</v>
      </c>
      <c r="F619" s="57">
        <v>284.2715</v>
      </c>
      <c r="G619" s="57">
        <v>10.024800000000001</v>
      </c>
      <c r="H619" s="57">
        <v>284.27080000000001</v>
      </c>
      <c r="I619" s="57">
        <v>285.27330000000001</v>
      </c>
      <c r="J619" s="57">
        <v>87.0441</v>
      </c>
      <c r="K619" s="57">
        <v>129.09100000000001</v>
      </c>
      <c r="L619" s="75" t="s">
        <v>129</v>
      </c>
      <c r="M619" s="75" t="s">
        <v>129</v>
      </c>
    </row>
    <row r="620" spans="1:13" x14ac:dyDescent="0.2">
      <c r="A620" s="54">
        <v>619</v>
      </c>
      <c r="B620" s="57">
        <v>504</v>
      </c>
      <c r="C620" s="57" t="s">
        <v>2994</v>
      </c>
      <c r="D620" s="59" t="s">
        <v>2995</v>
      </c>
      <c r="E620" s="57" t="s">
        <v>185</v>
      </c>
      <c r="F620" s="57">
        <v>184.2191</v>
      </c>
      <c r="G620" s="57">
        <v>4.3521000000000001</v>
      </c>
      <c r="H620" s="57">
        <v>85.101200000000006</v>
      </c>
      <c r="I620" s="57">
        <v>97.101200000000006</v>
      </c>
      <c r="J620" s="57">
        <v>111.1169</v>
      </c>
      <c r="K620" s="57">
        <v>126.1409</v>
      </c>
      <c r="L620" s="75" t="s">
        <v>184</v>
      </c>
      <c r="M620" s="75" t="s">
        <v>184</v>
      </c>
    </row>
    <row r="621" spans="1:13" x14ac:dyDescent="0.2">
      <c r="A621" s="54">
        <v>620</v>
      </c>
      <c r="B621" s="57">
        <v>505</v>
      </c>
      <c r="C621" s="57" t="s">
        <v>2996</v>
      </c>
      <c r="D621" s="59" t="s">
        <v>2997</v>
      </c>
      <c r="E621" s="57" t="s">
        <v>193</v>
      </c>
      <c r="F621" s="57">
        <v>198.23480000000001</v>
      </c>
      <c r="G621" s="57">
        <v>4.3475999999999999</v>
      </c>
      <c r="H621" s="57">
        <v>198.23410000000001</v>
      </c>
      <c r="I621" s="57">
        <v>85.101200000000006</v>
      </c>
      <c r="J621" s="57">
        <v>97.101200000000006</v>
      </c>
      <c r="K621" s="57">
        <v>111.1169</v>
      </c>
      <c r="L621" s="75" t="s">
        <v>192</v>
      </c>
      <c r="M621" s="75" t="s">
        <v>192</v>
      </c>
    </row>
    <row r="622" spans="1:13" x14ac:dyDescent="0.2">
      <c r="A622" s="54">
        <v>621</v>
      </c>
      <c r="B622" s="57">
        <v>506</v>
      </c>
      <c r="C622" s="57" t="s">
        <v>2998</v>
      </c>
      <c r="D622" s="59" t="s">
        <v>2999</v>
      </c>
      <c r="E622" s="57" t="s">
        <v>191</v>
      </c>
      <c r="F622" s="57">
        <v>212.25040000000001</v>
      </c>
      <c r="G622" s="57">
        <v>5.3593000000000002</v>
      </c>
      <c r="H622" s="57">
        <v>212.25139999999999</v>
      </c>
      <c r="I622" s="57">
        <v>85.101200000000006</v>
      </c>
      <c r="J622" s="57">
        <v>97.101200000000006</v>
      </c>
      <c r="K622" s="57">
        <v>111.1169</v>
      </c>
      <c r="L622" s="75" t="s">
        <v>190</v>
      </c>
      <c r="M622" s="75" t="s">
        <v>190</v>
      </c>
    </row>
    <row r="623" spans="1:13" x14ac:dyDescent="0.2">
      <c r="A623" s="54">
        <v>622</v>
      </c>
      <c r="B623" s="57">
        <v>507</v>
      </c>
      <c r="C623" s="57" t="s">
        <v>3002</v>
      </c>
      <c r="D623" s="59" t="s">
        <v>3003</v>
      </c>
      <c r="E623" s="57" t="s">
        <v>310</v>
      </c>
      <c r="F623" s="57">
        <v>240.2817</v>
      </c>
      <c r="G623" s="57">
        <v>3.2040999999999999</v>
      </c>
      <c r="H623" s="57">
        <v>240.28059999999999</v>
      </c>
      <c r="I623" s="57">
        <v>97.101200000000006</v>
      </c>
      <c r="J623" s="57">
        <v>111.1169</v>
      </c>
      <c r="K623" s="57">
        <v>125.1326</v>
      </c>
      <c r="L623" s="75" t="s">
        <v>309</v>
      </c>
      <c r="M623" s="75" t="s">
        <v>309</v>
      </c>
    </row>
    <row r="624" spans="1:13" x14ac:dyDescent="0.2">
      <c r="A624" s="54">
        <v>623</v>
      </c>
      <c r="B624" s="57">
        <v>508</v>
      </c>
      <c r="C624" s="57" t="s">
        <v>3006</v>
      </c>
      <c r="D624" s="59" t="s">
        <v>3007</v>
      </c>
      <c r="E624" s="57" t="s">
        <v>3008</v>
      </c>
      <c r="F624" s="57">
        <v>268.31299999999999</v>
      </c>
      <c r="G624" s="57">
        <v>3.2467000000000001</v>
      </c>
      <c r="H624" s="57">
        <v>268.31200000000001</v>
      </c>
      <c r="I624" s="57">
        <v>214.28569999999999</v>
      </c>
      <c r="J624" s="57">
        <v>212.1816</v>
      </c>
      <c r="K624" s="57">
        <v>272.09480000000002</v>
      </c>
      <c r="L624" s="75" t="s">
        <v>3528</v>
      </c>
      <c r="M624" s="75" t="s">
        <v>3528</v>
      </c>
    </row>
    <row r="625" spans="1:13" x14ac:dyDescent="0.2">
      <c r="A625" s="54">
        <v>624</v>
      </c>
      <c r="B625" s="57">
        <v>509</v>
      </c>
      <c r="C625" s="57" t="s">
        <v>3011</v>
      </c>
      <c r="D625" s="59" t="s">
        <v>3012</v>
      </c>
      <c r="E625" s="57" t="s">
        <v>300</v>
      </c>
      <c r="F625" s="57">
        <v>310.36</v>
      </c>
      <c r="G625" s="57">
        <v>10.0427</v>
      </c>
      <c r="H625" s="57">
        <v>85.101200000000006</v>
      </c>
      <c r="I625" s="57">
        <v>97.101299999999995</v>
      </c>
      <c r="J625" s="57">
        <v>111.1169</v>
      </c>
      <c r="K625" s="57">
        <v>125.13249999999999</v>
      </c>
      <c r="L625" s="75" t="s">
        <v>299</v>
      </c>
      <c r="M625" s="75" t="s">
        <v>299</v>
      </c>
    </row>
    <row r="626" spans="1:13" x14ac:dyDescent="0.2">
      <c r="A626" s="54">
        <v>625</v>
      </c>
      <c r="B626" s="57">
        <v>510</v>
      </c>
      <c r="C626" s="57" t="s">
        <v>2741</v>
      </c>
      <c r="D626" s="59" t="s">
        <v>2742</v>
      </c>
      <c r="E626" s="57" t="s">
        <v>764</v>
      </c>
      <c r="F626" s="57">
        <v>201.07900000000001</v>
      </c>
      <c r="G626" s="57">
        <v>7.2253999999999996</v>
      </c>
      <c r="H626" s="57">
        <v>201.07839999999999</v>
      </c>
      <c r="I626" s="57">
        <v>215.05770000000001</v>
      </c>
      <c r="J626" s="57">
        <v>185.05950000000001</v>
      </c>
      <c r="K626" s="57">
        <v>184.06280000000001</v>
      </c>
      <c r="L626" s="75" t="s">
        <v>763</v>
      </c>
      <c r="M626" s="75" t="s">
        <v>763</v>
      </c>
    </row>
    <row r="627" spans="1:13" x14ac:dyDescent="0.2">
      <c r="A627" s="54">
        <v>626</v>
      </c>
      <c r="B627" s="57">
        <v>511</v>
      </c>
      <c r="C627" s="57" t="s">
        <v>3015</v>
      </c>
      <c r="D627" s="59" t="s">
        <v>3016</v>
      </c>
      <c r="E627" s="57" t="s">
        <v>306</v>
      </c>
      <c r="F627" s="57">
        <v>366.42259999999999</v>
      </c>
      <c r="G627" s="57">
        <v>14.9672</v>
      </c>
      <c r="H627" s="57">
        <v>85.101200000000006</v>
      </c>
      <c r="I627" s="57">
        <v>97.101299999999995</v>
      </c>
      <c r="J627" s="57">
        <v>111.1169</v>
      </c>
      <c r="K627" s="57">
        <v>125.13249999999999</v>
      </c>
      <c r="L627" s="75" t="s">
        <v>305</v>
      </c>
      <c r="M627" s="75" t="s">
        <v>305</v>
      </c>
    </row>
    <row r="628" spans="1:13" x14ac:dyDescent="0.2">
      <c r="A628" s="54">
        <v>627</v>
      </c>
      <c r="B628" s="57">
        <v>512</v>
      </c>
      <c r="C628" s="57" t="s">
        <v>3017</v>
      </c>
      <c r="D628" s="59" t="s">
        <v>3018</v>
      </c>
      <c r="E628" s="57" t="s">
        <v>304</v>
      </c>
      <c r="F628" s="57">
        <v>394.4538</v>
      </c>
      <c r="G628" s="57">
        <v>17.298500000000001</v>
      </c>
      <c r="H628" s="57">
        <v>85.101200000000006</v>
      </c>
      <c r="I628" s="57">
        <v>97.101299999999995</v>
      </c>
      <c r="J628" s="57">
        <v>111.1169</v>
      </c>
      <c r="K628" s="57">
        <v>125.13249999999999</v>
      </c>
      <c r="L628" s="75" t="s">
        <v>303</v>
      </c>
      <c r="M628" s="75" t="s">
        <v>303</v>
      </c>
    </row>
    <row r="629" spans="1:13" x14ac:dyDescent="0.2">
      <c r="A629" s="54">
        <v>628</v>
      </c>
      <c r="B629" s="57">
        <v>513</v>
      </c>
      <c r="C629" s="57" t="s">
        <v>2620</v>
      </c>
      <c r="D629" s="59" t="s">
        <v>2621</v>
      </c>
      <c r="E629" s="57" t="s">
        <v>2622</v>
      </c>
      <c r="F629" s="57">
        <v>165.89109999999999</v>
      </c>
      <c r="G629" s="57">
        <v>5.9580000000000002</v>
      </c>
      <c r="H629" s="57">
        <v>130.92169999999999</v>
      </c>
      <c r="I629" s="57">
        <v>132.9607</v>
      </c>
      <c r="J629" s="57">
        <v>94.968299999999999</v>
      </c>
      <c r="K629" s="57">
        <v>134.95779999999999</v>
      </c>
      <c r="L629" s="75" t="s">
        <v>3622</v>
      </c>
      <c r="M629" s="75" t="s">
        <v>3622</v>
      </c>
    </row>
    <row r="630" spans="1:13" x14ac:dyDescent="0.2">
      <c r="A630" s="54">
        <v>629</v>
      </c>
      <c r="B630" s="57" t="s">
        <v>1</v>
      </c>
      <c r="C630" s="57" t="s">
        <v>2623</v>
      </c>
      <c r="D630" s="59" t="s">
        <v>1</v>
      </c>
      <c r="E630" s="57" t="s">
        <v>1</v>
      </c>
      <c r="F630" s="57" t="s">
        <v>1</v>
      </c>
      <c r="G630" s="57">
        <v>6.3460000000000001</v>
      </c>
      <c r="H630" s="57">
        <v>130.92169999999999</v>
      </c>
      <c r="I630" s="57">
        <v>132.9607</v>
      </c>
      <c r="J630" s="57">
        <v>94.968299999999999</v>
      </c>
      <c r="K630" s="57">
        <v>134.95779999999999</v>
      </c>
      <c r="L630" s="75">
        <v>0</v>
      </c>
      <c r="M630" s="75" t="s">
        <v>1</v>
      </c>
    </row>
    <row r="631" spans="1:13" x14ac:dyDescent="0.2">
      <c r="A631" s="54">
        <v>630</v>
      </c>
      <c r="B631" s="57">
        <v>514</v>
      </c>
      <c r="C631" s="57" t="s">
        <v>1778</v>
      </c>
      <c r="D631" s="59" t="s">
        <v>1779</v>
      </c>
      <c r="E631" s="57" t="s">
        <v>1780</v>
      </c>
      <c r="F631" s="57">
        <v>871.26778000000002</v>
      </c>
      <c r="G631" s="57">
        <v>19.651399999999999</v>
      </c>
      <c r="H631" s="57">
        <v>722.40520000000004</v>
      </c>
      <c r="I631" s="57">
        <v>718.00840000000005</v>
      </c>
      <c r="J631" s="57">
        <v>727.60059999999999</v>
      </c>
      <c r="K631" s="57">
        <v>723.51760000000002</v>
      </c>
      <c r="L631" s="75" t="s">
        <v>3539</v>
      </c>
      <c r="M631" s="75" t="s">
        <v>3539</v>
      </c>
    </row>
    <row r="632" spans="1:13" x14ac:dyDescent="0.2">
      <c r="A632" s="54">
        <v>631</v>
      </c>
      <c r="B632" s="57">
        <v>515</v>
      </c>
      <c r="C632" s="57" t="s">
        <v>3019</v>
      </c>
      <c r="D632" s="59" t="s">
        <v>3020</v>
      </c>
      <c r="E632" s="57" t="s">
        <v>312</v>
      </c>
      <c r="F632" s="57">
        <v>422.48520000000002</v>
      </c>
      <c r="G632" s="57">
        <v>19.787700000000001</v>
      </c>
      <c r="H632" s="57">
        <v>85.101200000000006</v>
      </c>
      <c r="I632" s="57">
        <v>97.101299999999995</v>
      </c>
      <c r="J632" s="57">
        <v>111.1169</v>
      </c>
      <c r="K632" s="57">
        <v>125.13249999999999</v>
      </c>
      <c r="L632" s="75" t="s">
        <v>311</v>
      </c>
      <c r="M632" s="75" t="s">
        <v>311</v>
      </c>
    </row>
    <row r="633" spans="1:13" x14ac:dyDescent="0.2">
      <c r="A633" s="54">
        <v>632</v>
      </c>
      <c r="B633" s="57">
        <v>516</v>
      </c>
      <c r="C633" s="57" t="s">
        <v>3013</v>
      </c>
      <c r="D633" s="59" t="s">
        <v>3014</v>
      </c>
      <c r="E633" s="57" t="s">
        <v>308</v>
      </c>
      <c r="F633" s="57">
        <v>338.3913</v>
      </c>
      <c r="G633" s="57">
        <v>12.7188</v>
      </c>
      <c r="H633" s="57">
        <v>85.101200000000006</v>
      </c>
      <c r="I633" s="57">
        <v>97.101299999999995</v>
      </c>
      <c r="J633" s="57">
        <v>111.1169</v>
      </c>
      <c r="K633" s="57">
        <v>125.13249999999999</v>
      </c>
      <c r="L633" s="75" t="s">
        <v>307</v>
      </c>
      <c r="M633" s="75" t="s">
        <v>307</v>
      </c>
    </row>
    <row r="634" spans="1:13" x14ac:dyDescent="0.2">
      <c r="A634" s="54">
        <v>633</v>
      </c>
      <c r="B634" s="57">
        <v>517</v>
      </c>
      <c r="C634" s="57" t="s">
        <v>2273</v>
      </c>
      <c r="D634" s="59" t="s">
        <v>1421</v>
      </c>
      <c r="E634" s="57" t="s">
        <v>3</v>
      </c>
      <c r="F634" s="57">
        <v>122.0368</v>
      </c>
      <c r="G634" s="57">
        <v>14.2944</v>
      </c>
      <c r="H634" s="57">
        <v>122.0363</v>
      </c>
      <c r="I634" s="57">
        <v>105.0335</v>
      </c>
      <c r="J634" s="57">
        <v>135.04409999999999</v>
      </c>
      <c r="K634" s="57">
        <v>123.03959999999999</v>
      </c>
      <c r="M634" s="75" t="s">
        <v>3623</v>
      </c>
    </row>
    <row r="635" spans="1:13" x14ac:dyDescent="0.2">
      <c r="A635" s="54">
        <v>634</v>
      </c>
      <c r="B635" s="57" t="s">
        <v>1</v>
      </c>
      <c r="C635" s="57" t="s">
        <v>2966</v>
      </c>
      <c r="D635" s="59" t="s">
        <v>1</v>
      </c>
      <c r="E635" s="57" t="s">
        <v>1</v>
      </c>
      <c r="F635" s="57" t="s">
        <v>1</v>
      </c>
      <c r="G635" s="57">
        <v>14.3058</v>
      </c>
      <c r="H635" s="57">
        <v>122.0363</v>
      </c>
      <c r="I635" s="57">
        <v>105.0337</v>
      </c>
      <c r="J635" s="57">
        <v>106.03700000000001</v>
      </c>
      <c r="K635" s="57">
        <v>123.0398</v>
      </c>
      <c r="L635" s="75">
        <v>0</v>
      </c>
      <c r="M635" s="75" t="s">
        <v>1</v>
      </c>
    </row>
    <row r="636" spans="1:13" x14ac:dyDescent="0.2">
      <c r="A636" s="54">
        <v>635</v>
      </c>
      <c r="B636" s="57" t="s">
        <v>1</v>
      </c>
      <c r="C636" s="57" t="s">
        <v>2967</v>
      </c>
      <c r="D636" s="59" t="s">
        <v>1</v>
      </c>
      <c r="E636" s="57" t="s">
        <v>1</v>
      </c>
      <c r="F636" s="57" t="s">
        <v>1</v>
      </c>
      <c r="G636" s="57">
        <v>7.3090000000000002</v>
      </c>
      <c r="H636" s="57">
        <v>122.0363</v>
      </c>
      <c r="I636" s="57">
        <v>105.0337</v>
      </c>
      <c r="J636" s="57">
        <v>106.03700000000001</v>
      </c>
      <c r="K636" s="57">
        <v>123.0398</v>
      </c>
      <c r="L636" s="75">
        <v>0</v>
      </c>
      <c r="M636" s="75" t="s">
        <v>1</v>
      </c>
    </row>
    <row r="637" spans="1:13" x14ac:dyDescent="0.2">
      <c r="A637" s="54">
        <v>636</v>
      </c>
      <c r="B637" s="57" t="s">
        <v>1</v>
      </c>
      <c r="C637" s="57" t="s">
        <v>2968</v>
      </c>
      <c r="D637" s="59" t="s">
        <v>1</v>
      </c>
      <c r="E637" s="57" t="s">
        <v>1</v>
      </c>
      <c r="F637" s="57" t="s">
        <v>1</v>
      </c>
      <c r="G637" s="57">
        <v>3.0348000000000002</v>
      </c>
      <c r="H637" s="57">
        <v>122.0363</v>
      </c>
      <c r="I637" s="57">
        <v>105.0337</v>
      </c>
      <c r="J637" s="57">
        <v>106.03700000000001</v>
      </c>
      <c r="K637" s="57">
        <v>123.0398</v>
      </c>
      <c r="L637" s="75">
        <v>0</v>
      </c>
      <c r="M637" s="75" t="s">
        <v>1</v>
      </c>
    </row>
    <row r="638" spans="1:13" x14ac:dyDescent="0.2">
      <c r="A638" s="54">
        <v>637</v>
      </c>
      <c r="B638" s="57">
        <v>518</v>
      </c>
      <c r="C638" s="57" t="s">
        <v>2849</v>
      </c>
      <c r="D638" s="59" t="s">
        <v>3348</v>
      </c>
      <c r="E638" s="57" t="s">
        <v>589</v>
      </c>
      <c r="F638" s="57">
        <v>110.00369999999999</v>
      </c>
      <c r="G638" s="57">
        <v>10.447800000000001</v>
      </c>
      <c r="H638" s="57">
        <v>111.02290000000001</v>
      </c>
      <c r="I638" s="57">
        <v>111.9889</v>
      </c>
      <c r="J638" s="57">
        <v>109.9919</v>
      </c>
      <c r="K638" s="57">
        <v>113.0386</v>
      </c>
      <c r="L638" s="75" t="s">
        <v>588</v>
      </c>
      <c r="M638" s="75" t="s">
        <v>588</v>
      </c>
    </row>
    <row r="639" spans="1:13" x14ac:dyDescent="0.2">
      <c r="A639" s="54">
        <v>638</v>
      </c>
      <c r="B639" s="57">
        <v>519</v>
      </c>
      <c r="C639" s="57" t="s">
        <v>2094</v>
      </c>
      <c r="D639" s="59" t="s">
        <v>1222</v>
      </c>
      <c r="E639" s="57" t="s">
        <v>974</v>
      </c>
      <c r="F639" s="57">
        <v>283.0643</v>
      </c>
      <c r="G639" s="57">
        <v>18.4346</v>
      </c>
      <c r="H639" s="57">
        <v>159.0805</v>
      </c>
      <c r="I639" s="57">
        <v>161.05969999999999</v>
      </c>
      <c r="J639" s="57">
        <v>172.0883</v>
      </c>
      <c r="K639" s="57">
        <v>160.084</v>
      </c>
      <c r="L639" s="75" t="s">
        <v>973</v>
      </c>
      <c r="M639" s="75" t="s">
        <v>973</v>
      </c>
    </row>
    <row r="640" spans="1:13" x14ac:dyDescent="0.2">
      <c r="A640" s="54">
        <v>639</v>
      </c>
      <c r="B640" s="57" t="s">
        <v>1</v>
      </c>
      <c r="C640" s="57" t="s">
        <v>2095</v>
      </c>
      <c r="D640" s="59" t="s">
        <v>1</v>
      </c>
      <c r="E640" s="57" t="s">
        <v>1</v>
      </c>
      <c r="F640" s="57" t="s">
        <v>1</v>
      </c>
      <c r="G640" s="57">
        <v>18.506499999999999</v>
      </c>
      <c r="H640" s="57">
        <v>159.0805</v>
      </c>
      <c r="I640" s="57">
        <v>161.05969999999999</v>
      </c>
      <c r="J640" s="57">
        <v>172.0883</v>
      </c>
      <c r="K640" s="57">
        <v>160.084</v>
      </c>
      <c r="L640" s="75">
        <v>0</v>
      </c>
      <c r="M640" s="75" t="s">
        <v>1</v>
      </c>
    </row>
    <row r="641" spans="1:13" x14ac:dyDescent="0.2">
      <c r="A641" s="54">
        <v>640</v>
      </c>
      <c r="B641" s="57">
        <v>520</v>
      </c>
      <c r="C641" s="57" t="s">
        <v>2011</v>
      </c>
      <c r="D641" s="59" t="s">
        <v>2012</v>
      </c>
      <c r="E641" s="57" t="s">
        <v>2013</v>
      </c>
      <c r="F641" s="57">
        <v>323.11329999999998</v>
      </c>
      <c r="G641" s="57">
        <v>9.8643999999999998</v>
      </c>
      <c r="H641" s="57">
        <v>323.11290000000002</v>
      </c>
      <c r="I641" s="57">
        <v>173.02090000000001</v>
      </c>
      <c r="J641" s="57">
        <v>281.06639999999999</v>
      </c>
      <c r="K641" s="57">
        <v>145.02590000000001</v>
      </c>
      <c r="L641" s="75" t="s">
        <v>3482</v>
      </c>
      <c r="M641" s="75" t="s">
        <v>3482</v>
      </c>
    </row>
    <row r="642" spans="1:13" x14ac:dyDescent="0.2">
      <c r="A642" s="54">
        <v>641</v>
      </c>
      <c r="B642" s="57">
        <v>521</v>
      </c>
      <c r="C642" s="57" t="s">
        <v>2487</v>
      </c>
      <c r="D642" s="59" t="s">
        <v>3243</v>
      </c>
      <c r="E642" s="57" t="s">
        <v>2488</v>
      </c>
      <c r="F642" s="57">
        <v>252.0634</v>
      </c>
      <c r="G642" s="57">
        <v>9.8890999999999991</v>
      </c>
      <c r="H642" s="57">
        <v>252.0634</v>
      </c>
      <c r="I642" s="57">
        <v>243.0241</v>
      </c>
      <c r="J642" s="57">
        <v>225.01329999999999</v>
      </c>
      <c r="K642" s="57">
        <v>244.02719999999999</v>
      </c>
      <c r="L642" s="75" t="s">
        <v>3434</v>
      </c>
      <c r="M642" s="75" t="s">
        <v>3434</v>
      </c>
    </row>
    <row r="643" spans="1:13" x14ac:dyDescent="0.2">
      <c r="A643" s="54">
        <v>642</v>
      </c>
      <c r="B643" s="57">
        <v>522</v>
      </c>
      <c r="C643" s="57" t="s">
        <v>1840</v>
      </c>
      <c r="D643" s="59" t="s">
        <v>3567</v>
      </c>
      <c r="E643" s="57" t="s">
        <v>1841</v>
      </c>
      <c r="F643" s="57">
        <v>443.7901</v>
      </c>
      <c r="G643" s="57">
        <v>10.7912</v>
      </c>
      <c r="H643" s="57">
        <v>158.97630000000001</v>
      </c>
      <c r="I643" s="57">
        <v>278.8877</v>
      </c>
      <c r="J643" s="57">
        <v>338.86439999999999</v>
      </c>
      <c r="K643" s="57">
        <v>374.84100000000001</v>
      </c>
      <c r="L643" s="75" t="s">
        <v>732</v>
      </c>
      <c r="M643" s="76" t="s">
        <v>664</v>
      </c>
    </row>
    <row r="644" spans="1:13" x14ac:dyDescent="0.2">
      <c r="A644" s="54">
        <v>643</v>
      </c>
      <c r="B644" s="57">
        <v>523</v>
      </c>
      <c r="C644" s="57" t="s">
        <v>2560</v>
      </c>
      <c r="D644" s="59" t="s">
        <v>3547</v>
      </c>
      <c r="E644" s="57" t="s">
        <v>2561</v>
      </c>
      <c r="F644" s="57">
        <v>117.9144</v>
      </c>
      <c r="G644" s="57">
        <v>6.9779</v>
      </c>
      <c r="H644" s="57">
        <v>118.9032</v>
      </c>
      <c r="I644" s="57">
        <v>119.97629999999999</v>
      </c>
      <c r="J644" s="57">
        <v>85.979200000000006</v>
      </c>
      <c r="K644" s="57">
        <v>117.9372</v>
      </c>
      <c r="L644" s="75" t="s">
        <v>3395</v>
      </c>
      <c r="M644" s="75" t="s">
        <v>3395</v>
      </c>
    </row>
    <row r="645" spans="1:13" x14ac:dyDescent="0.2">
      <c r="A645" s="54">
        <v>644</v>
      </c>
      <c r="B645" s="57">
        <v>524</v>
      </c>
      <c r="C645" s="57" t="s">
        <v>2944</v>
      </c>
      <c r="D645" s="59" t="s">
        <v>2945</v>
      </c>
      <c r="E645" s="57" t="s">
        <v>2946</v>
      </c>
      <c r="F645" s="57">
        <v>233.81309999999999</v>
      </c>
      <c r="G645" s="57">
        <v>7.4123999999999999</v>
      </c>
      <c r="H645" s="57">
        <v>116.90600000000001</v>
      </c>
      <c r="I645" s="57">
        <v>200.8826</v>
      </c>
      <c r="J645" s="57">
        <v>164.90600000000001</v>
      </c>
      <c r="K645" s="57">
        <v>165.9093</v>
      </c>
      <c r="L645" s="75" t="s">
        <v>3624</v>
      </c>
      <c r="M645" s="75" t="s">
        <v>3624</v>
      </c>
    </row>
    <row r="646" spans="1:13" x14ac:dyDescent="0.2">
      <c r="A646" s="54">
        <v>645</v>
      </c>
      <c r="B646" s="57">
        <v>525</v>
      </c>
      <c r="C646" s="57" t="s">
        <v>2019</v>
      </c>
      <c r="D646" s="59" t="s">
        <v>2020</v>
      </c>
      <c r="E646" s="57" t="s">
        <v>2021</v>
      </c>
      <c r="F646" s="57">
        <v>277.09820000000002</v>
      </c>
      <c r="G646" s="57">
        <v>19.7667</v>
      </c>
      <c r="H646" s="57">
        <v>277.0967</v>
      </c>
      <c r="I646" s="57">
        <v>276.09339999999997</v>
      </c>
      <c r="J646" s="57">
        <v>274.07749999999999</v>
      </c>
      <c r="K646" s="57">
        <v>278.10910000000001</v>
      </c>
      <c r="L646" s="75" t="s">
        <v>3453</v>
      </c>
      <c r="M646" s="75" t="s">
        <v>3453</v>
      </c>
    </row>
    <row r="647" spans="1:13" x14ac:dyDescent="0.2">
      <c r="A647" s="54">
        <v>646</v>
      </c>
      <c r="B647" s="57" t="s">
        <v>1</v>
      </c>
      <c r="C647" s="57" t="s">
        <v>2022</v>
      </c>
      <c r="D647" s="59" t="s">
        <v>1</v>
      </c>
      <c r="E647" s="57" t="s">
        <v>1</v>
      </c>
      <c r="F647" s="57" t="s">
        <v>1</v>
      </c>
      <c r="G647" s="57">
        <v>20.085100000000001</v>
      </c>
      <c r="H647" s="57">
        <v>277.0967</v>
      </c>
      <c r="I647" s="57">
        <v>276.09339999999997</v>
      </c>
      <c r="J647" s="57">
        <v>274.07749999999999</v>
      </c>
      <c r="K647" s="57">
        <v>278.10910000000001</v>
      </c>
      <c r="L647" s="75">
        <v>0</v>
      </c>
      <c r="M647" s="75" t="s">
        <v>1</v>
      </c>
    </row>
    <row r="648" spans="1:13" x14ac:dyDescent="0.2">
      <c r="A648" s="54">
        <v>647</v>
      </c>
      <c r="B648" s="57">
        <v>526</v>
      </c>
      <c r="C648" s="57" t="s">
        <v>2035</v>
      </c>
      <c r="D648" s="59" t="s">
        <v>2036</v>
      </c>
      <c r="E648" s="57" t="s">
        <v>977</v>
      </c>
      <c r="F648" s="57">
        <v>375.0308</v>
      </c>
      <c r="G648" s="57">
        <v>4.3880999999999997</v>
      </c>
      <c r="H648" s="57">
        <v>375.03300000000002</v>
      </c>
      <c r="I648" s="57">
        <v>108.0445</v>
      </c>
      <c r="J648" s="57">
        <v>376.03370000000001</v>
      </c>
      <c r="K648" s="57">
        <v>377.03019999999998</v>
      </c>
      <c r="L648" s="75" t="s">
        <v>976</v>
      </c>
      <c r="M648" s="75" t="s">
        <v>976</v>
      </c>
    </row>
    <row r="649" spans="1:13" x14ac:dyDescent="0.2">
      <c r="A649" s="54">
        <v>648</v>
      </c>
      <c r="B649" s="57">
        <v>527</v>
      </c>
      <c r="C649" s="57" t="s">
        <v>3077</v>
      </c>
      <c r="D649" s="59" t="s">
        <v>3078</v>
      </c>
      <c r="E649" s="57" t="s">
        <v>652</v>
      </c>
      <c r="F649" s="57">
        <v>433.06479999999999</v>
      </c>
      <c r="G649" s="57">
        <v>8.3914000000000009</v>
      </c>
      <c r="H649" s="57">
        <v>433.0677</v>
      </c>
      <c r="I649" s="57">
        <v>163.05420000000001</v>
      </c>
      <c r="J649" s="57">
        <v>165.06989999999999</v>
      </c>
      <c r="K649" s="57">
        <v>167.0855</v>
      </c>
      <c r="L649" s="75" t="s">
        <v>651</v>
      </c>
      <c r="M649" s="75" t="s">
        <v>651</v>
      </c>
    </row>
    <row r="650" spans="1:13" x14ac:dyDescent="0.2">
      <c r="A650" s="54">
        <v>649</v>
      </c>
      <c r="B650" s="57">
        <v>528</v>
      </c>
      <c r="C650" s="57" t="s">
        <v>1716</v>
      </c>
      <c r="D650" s="59" t="s">
        <v>1717</v>
      </c>
      <c r="E650" s="57" t="s">
        <v>1718</v>
      </c>
      <c r="F650" s="57">
        <v>637.53599999999994</v>
      </c>
      <c r="G650" s="57">
        <v>18.802199999999999</v>
      </c>
      <c r="H650" s="57">
        <v>483.69479999999999</v>
      </c>
      <c r="I650" s="57">
        <v>481.6968</v>
      </c>
      <c r="J650" s="57">
        <v>485.6925</v>
      </c>
      <c r="K650" s="57">
        <v>643.53219999999999</v>
      </c>
      <c r="L650" s="75" t="s">
        <v>3461</v>
      </c>
      <c r="M650" s="75" t="s">
        <v>3461</v>
      </c>
    </row>
    <row r="651" spans="1:13" x14ac:dyDescent="0.2">
      <c r="A651" s="54">
        <v>650</v>
      </c>
      <c r="B651" s="57">
        <v>529</v>
      </c>
      <c r="C651" s="57" t="s">
        <v>2113</v>
      </c>
      <c r="D651" s="59" t="s">
        <v>2114</v>
      </c>
      <c r="E651" s="57" t="s">
        <v>2115</v>
      </c>
      <c r="F651" s="57">
        <v>345.0856</v>
      </c>
      <c r="G651" s="57">
        <v>9.1225000000000005</v>
      </c>
      <c r="H651" s="57">
        <v>345.08539999999999</v>
      </c>
      <c r="I651" s="57">
        <v>205.9983</v>
      </c>
      <c r="J651" s="57">
        <v>218.04839999999999</v>
      </c>
      <c r="K651" s="57">
        <v>178.9872</v>
      </c>
      <c r="L651" s="75" t="s">
        <v>3417</v>
      </c>
      <c r="M651" s="75" t="s">
        <v>3417</v>
      </c>
    </row>
    <row r="652" spans="1:13" x14ac:dyDescent="0.2">
      <c r="A652" s="54">
        <v>651</v>
      </c>
      <c r="B652" s="57">
        <v>530</v>
      </c>
      <c r="C652" s="57" t="s">
        <v>2394</v>
      </c>
      <c r="D652" s="59" t="s">
        <v>3174</v>
      </c>
      <c r="E652" s="57" t="s">
        <v>319</v>
      </c>
      <c r="F652" s="57">
        <v>340.08640000000003</v>
      </c>
      <c r="G652" s="57">
        <v>13.459099999999999</v>
      </c>
      <c r="H652" s="57">
        <v>340.08519999999999</v>
      </c>
      <c r="I652" s="57">
        <v>339.07830000000001</v>
      </c>
      <c r="J652" s="57">
        <v>341.0899</v>
      </c>
      <c r="K652" s="57">
        <v>342.09269999999998</v>
      </c>
      <c r="L652" s="75" t="s">
        <v>318</v>
      </c>
      <c r="M652" s="75" t="s">
        <v>318</v>
      </c>
    </row>
    <row r="653" spans="1:13" x14ac:dyDescent="0.2">
      <c r="A653" s="54">
        <v>652</v>
      </c>
      <c r="B653" s="57">
        <v>531</v>
      </c>
      <c r="C653" s="57" t="s">
        <v>1830</v>
      </c>
      <c r="D653" s="59" t="s">
        <v>1831</v>
      </c>
      <c r="E653" s="57" t="s">
        <v>1832</v>
      </c>
      <c r="F653" s="57">
        <v>405.78469999999999</v>
      </c>
      <c r="G653" s="57">
        <v>17.880600000000001</v>
      </c>
      <c r="H653" s="57">
        <v>405.78449999999998</v>
      </c>
      <c r="I653" s="57">
        <v>403.78649999999999</v>
      </c>
      <c r="J653" s="57">
        <v>407.78219999999999</v>
      </c>
      <c r="K653" s="57">
        <v>401.78870000000001</v>
      </c>
      <c r="L653" s="75" t="s">
        <v>3473</v>
      </c>
      <c r="M653" s="75" t="s">
        <v>3473</v>
      </c>
    </row>
    <row r="654" spans="1:13" x14ac:dyDescent="0.2">
      <c r="A654" s="54">
        <v>653</v>
      </c>
      <c r="B654" s="57">
        <v>532</v>
      </c>
      <c r="C654" s="57" t="s">
        <v>1559</v>
      </c>
      <c r="D654" s="59" t="s">
        <v>1560</v>
      </c>
      <c r="E654" s="57" t="s">
        <v>1561</v>
      </c>
      <c r="F654" s="57">
        <v>357.84440000000001</v>
      </c>
      <c r="G654" s="57">
        <v>13.326000000000001</v>
      </c>
      <c r="H654" s="57">
        <v>359.8408</v>
      </c>
      <c r="I654" s="57">
        <v>361.83780000000002</v>
      </c>
      <c r="J654" s="57">
        <v>357.84390000000002</v>
      </c>
      <c r="K654" s="57">
        <v>289.9033</v>
      </c>
      <c r="L654" s="75" t="s">
        <v>282</v>
      </c>
      <c r="M654" s="75" t="s">
        <v>282</v>
      </c>
    </row>
    <row r="655" spans="1:13" x14ac:dyDescent="0.2">
      <c r="A655" s="54">
        <v>654</v>
      </c>
      <c r="B655" s="57">
        <v>533</v>
      </c>
      <c r="C655" s="57" t="s">
        <v>2837</v>
      </c>
      <c r="D655" s="59" t="s">
        <v>2838</v>
      </c>
      <c r="E655" s="57" t="s">
        <v>2839</v>
      </c>
      <c r="F655" s="57">
        <v>403.84989999999999</v>
      </c>
      <c r="G655" s="57">
        <v>5.3319000000000001</v>
      </c>
      <c r="H655" s="57">
        <v>195.9059</v>
      </c>
      <c r="I655" s="57">
        <v>197.90289999999999</v>
      </c>
      <c r="J655" s="57">
        <v>193.90880000000001</v>
      </c>
      <c r="K655" s="57">
        <v>208.8708</v>
      </c>
      <c r="L655" s="75" t="s">
        <v>3625</v>
      </c>
      <c r="M655" s="75" t="s">
        <v>3625</v>
      </c>
    </row>
    <row r="656" spans="1:13" x14ac:dyDescent="0.2">
      <c r="A656" s="54">
        <v>655</v>
      </c>
      <c r="B656" s="57">
        <v>534</v>
      </c>
      <c r="C656" s="57" t="s">
        <v>2924</v>
      </c>
      <c r="D656" s="59" t="s">
        <v>3208</v>
      </c>
      <c r="E656" s="57" t="s">
        <v>552</v>
      </c>
      <c r="F656" s="57">
        <v>204.0342</v>
      </c>
      <c r="G656" s="57">
        <v>5.4109999999999996</v>
      </c>
      <c r="H656" s="57">
        <v>204.03229999999999</v>
      </c>
      <c r="I656" s="57">
        <v>206.0292</v>
      </c>
      <c r="J656" s="57">
        <v>165.0693</v>
      </c>
      <c r="K656" s="57">
        <v>176.03739999999999</v>
      </c>
      <c r="L656" s="75" t="s">
        <v>551</v>
      </c>
      <c r="M656" s="75" t="s">
        <v>551</v>
      </c>
    </row>
    <row r="657" spans="1:13" x14ac:dyDescent="0.2">
      <c r="A657" s="54">
        <v>656</v>
      </c>
      <c r="B657" s="57" t="s">
        <v>1</v>
      </c>
      <c r="C657" s="57" t="s">
        <v>2231</v>
      </c>
      <c r="D657" s="59" t="s">
        <v>1</v>
      </c>
      <c r="E657" s="57" t="s">
        <v>1</v>
      </c>
      <c r="F657" s="57" t="s">
        <v>1</v>
      </c>
      <c r="G657" s="57">
        <v>5.3914</v>
      </c>
      <c r="H657" s="57">
        <v>204.0335</v>
      </c>
      <c r="I657" s="57">
        <v>206.03059999999999</v>
      </c>
      <c r="J657" s="57">
        <v>141.01820000000001</v>
      </c>
      <c r="K657" s="57">
        <v>151.05430000000001</v>
      </c>
      <c r="L657" s="75">
        <v>0</v>
      </c>
      <c r="M657" s="75" t="s">
        <v>1</v>
      </c>
    </row>
    <row r="658" spans="1:13" x14ac:dyDescent="0.2">
      <c r="A658" s="54">
        <v>657</v>
      </c>
      <c r="B658" s="57">
        <v>535</v>
      </c>
      <c r="C658" s="57" t="s">
        <v>1596</v>
      </c>
      <c r="D658" s="59" t="s">
        <v>1597</v>
      </c>
      <c r="E658" s="57" t="s">
        <v>1598</v>
      </c>
      <c r="F658" s="57">
        <v>255.96129999999999</v>
      </c>
      <c r="G658" s="57">
        <v>7.1938000000000004</v>
      </c>
      <c r="H658" s="57">
        <v>255.96080000000001</v>
      </c>
      <c r="I658" s="57">
        <v>257.95780000000002</v>
      </c>
      <c r="J658" s="57">
        <v>186.023</v>
      </c>
      <c r="K658" s="57">
        <v>259.95490000000001</v>
      </c>
      <c r="L658" s="75" t="s">
        <v>285</v>
      </c>
      <c r="M658" s="75" t="s">
        <v>285</v>
      </c>
    </row>
    <row r="659" spans="1:13" x14ac:dyDescent="0.2">
      <c r="A659" s="54">
        <v>658</v>
      </c>
      <c r="B659" s="57">
        <v>536</v>
      </c>
      <c r="C659" s="57" t="s">
        <v>3093</v>
      </c>
      <c r="D659" s="59" t="s">
        <v>3350</v>
      </c>
      <c r="E659" s="57" t="s">
        <v>635</v>
      </c>
      <c r="F659" s="57">
        <v>451.15949999999998</v>
      </c>
      <c r="G659" s="57">
        <v>17.801200000000001</v>
      </c>
      <c r="H659" s="57">
        <v>157.04589999999999</v>
      </c>
      <c r="I659" s="57">
        <v>199.09289999999999</v>
      </c>
      <c r="J659" s="57">
        <v>181.06469999999999</v>
      </c>
      <c r="K659" s="57">
        <v>451.15879999999999</v>
      </c>
      <c r="L659" s="75" t="s">
        <v>634</v>
      </c>
      <c r="M659" s="75" t="s">
        <v>634</v>
      </c>
    </row>
    <row r="660" spans="1:13" x14ac:dyDescent="0.2">
      <c r="A660" s="54">
        <v>659</v>
      </c>
      <c r="B660" s="57" t="s">
        <v>1</v>
      </c>
      <c r="C660" s="57" t="s">
        <v>3091</v>
      </c>
      <c r="D660" s="59" t="s">
        <v>1</v>
      </c>
      <c r="E660" s="57" t="s">
        <v>1</v>
      </c>
      <c r="F660" s="57" t="s">
        <v>1</v>
      </c>
      <c r="G660" s="57">
        <v>17.575800000000001</v>
      </c>
      <c r="H660" s="57">
        <v>157.04589999999999</v>
      </c>
      <c r="I660" s="57">
        <v>181.06469999999999</v>
      </c>
      <c r="J660" s="57">
        <v>199.09289999999999</v>
      </c>
      <c r="K660" s="57">
        <v>451.15879999999999</v>
      </c>
      <c r="L660" s="75">
        <v>0</v>
      </c>
      <c r="M660" s="75" t="s">
        <v>1</v>
      </c>
    </row>
    <row r="661" spans="1:13" x14ac:dyDescent="0.2">
      <c r="A661" s="54">
        <v>660</v>
      </c>
      <c r="B661" s="57">
        <v>537</v>
      </c>
      <c r="C661" s="57" t="s">
        <v>2441</v>
      </c>
      <c r="D661" s="59" t="s">
        <v>2442</v>
      </c>
      <c r="E661" s="57" t="s">
        <v>49</v>
      </c>
      <c r="F661" s="57">
        <v>310.15690000000001</v>
      </c>
      <c r="G661" s="57">
        <v>17.847000000000001</v>
      </c>
      <c r="H661" s="57">
        <v>135.11689999999999</v>
      </c>
      <c r="I661" s="57">
        <v>311.27339999999998</v>
      </c>
      <c r="J661" s="57">
        <v>136.12029999999999</v>
      </c>
      <c r="K661" s="57">
        <v>312.27710000000002</v>
      </c>
      <c r="L661" s="75" t="s">
        <v>48</v>
      </c>
      <c r="M661" s="75" t="s">
        <v>48</v>
      </c>
    </row>
    <row r="662" spans="1:13" x14ac:dyDescent="0.2">
      <c r="A662" s="54">
        <v>661</v>
      </c>
      <c r="B662" s="57">
        <v>538</v>
      </c>
      <c r="C662" s="57" t="s">
        <v>2376</v>
      </c>
      <c r="D662" s="59" t="s">
        <v>3145</v>
      </c>
      <c r="E662" s="57" t="s">
        <v>872</v>
      </c>
      <c r="F662" s="57">
        <v>214.03970000000001</v>
      </c>
      <c r="G662" s="57">
        <v>4.9042000000000003</v>
      </c>
      <c r="H662" s="57">
        <v>107.0492</v>
      </c>
      <c r="I662" s="57">
        <v>105.07</v>
      </c>
      <c r="J662" s="57">
        <v>142.07329999999999</v>
      </c>
      <c r="K662" s="57">
        <v>214.03989999999999</v>
      </c>
      <c r="L662" s="75" t="s">
        <v>871</v>
      </c>
      <c r="M662" s="75" t="s">
        <v>871</v>
      </c>
    </row>
    <row r="663" spans="1:13" x14ac:dyDescent="0.2">
      <c r="A663" s="54">
        <v>662</v>
      </c>
      <c r="B663" s="57">
        <v>539</v>
      </c>
      <c r="C663" s="57" t="s">
        <v>2039</v>
      </c>
      <c r="D663" s="59" t="s">
        <v>2040</v>
      </c>
      <c r="E663" s="57" t="s">
        <v>2041</v>
      </c>
      <c r="F663" s="57">
        <v>217.0061</v>
      </c>
      <c r="G663" s="57">
        <v>10.4411</v>
      </c>
      <c r="H663" s="57">
        <v>217.00540000000001</v>
      </c>
      <c r="I663" s="57">
        <v>175.01240000000001</v>
      </c>
      <c r="J663" s="57">
        <v>173.0154</v>
      </c>
      <c r="K663" s="57">
        <v>176.02019999999999</v>
      </c>
      <c r="L663" s="75" t="s">
        <v>3537</v>
      </c>
      <c r="M663" s="75" t="s">
        <v>3537</v>
      </c>
    </row>
    <row r="664" spans="1:13" x14ac:dyDescent="0.2">
      <c r="A664" s="54">
        <v>663</v>
      </c>
      <c r="B664" s="57">
        <v>540</v>
      </c>
      <c r="C664" s="57" t="s">
        <v>2538</v>
      </c>
      <c r="D664" s="59" t="s">
        <v>3545</v>
      </c>
      <c r="E664" s="57" t="s">
        <v>2539</v>
      </c>
      <c r="F664" s="57">
        <v>78.046999999999997</v>
      </c>
      <c r="G664" s="57">
        <v>4.3708999999999998</v>
      </c>
      <c r="H664" s="57">
        <v>144.9607</v>
      </c>
      <c r="I664" s="57">
        <v>146.95760000000001</v>
      </c>
      <c r="J664" s="57">
        <v>143.9529</v>
      </c>
      <c r="K664" s="57">
        <v>145.94990000000001</v>
      </c>
      <c r="L664" s="75" t="s">
        <v>3463</v>
      </c>
      <c r="M664" s="75" t="s">
        <v>3463</v>
      </c>
    </row>
    <row r="665" spans="1:13" x14ac:dyDescent="0.2">
      <c r="A665" s="54">
        <v>664</v>
      </c>
      <c r="B665" s="57">
        <v>541</v>
      </c>
      <c r="C665" s="57" t="s">
        <v>2634</v>
      </c>
      <c r="D665" s="59" t="s">
        <v>2635</v>
      </c>
      <c r="E665" s="57" t="s">
        <v>2636</v>
      </c>
      <c r="F665" s="57">
        <v>131.93</v>
      </c>
      <c r="G665" s="57">
        <v>6.3998999999999997</v>
      </c>
      <c r="H665" s="57">
        <v>96.913300000000007</v>
      </c>
      <c r="I665" s="57">
        <v>98.946600000000004</v>
      </c>
      <c r="J665" s="57">
        <v>129.9308</v>
      </c>
      <c r="K665" s="57">
        <v>130.93860000000001</v>
      </c>
      <c r="L665" s="75" t="s">
        <v>3626</v>
      </c>
      <c r="M665" s="75" t="s">
        <v>3626</v>
      </c>
    </row>
    <row r="666" spans="1:13" x14ac:dyDescent="0.2">
      <c r="A666" s="54">
        <v>665</v>
      </c>
      <c r="B666" s="57">
        <v>542</v>
      </c>
      <c r="C666" s="57" t="s">
        <v>1753</v>
      </c>
      <c r="D666" s="59" t="s">
        <v>1754</v>
      </c>
      <c r="E666" s="57" t="s">
        <v>1755</v>
      </c>
      <c r="F666" s="57">
        <v>377.87060000000002</v>
      </c>
      <c r="G666" s="57">
        <v>12.8306</v>
      </c>
      <c r="H666" s="57">
        <v>318.90050000000002</v>
      </c>
      <c r="I666" s="57">
        <v>316.9033</v>
      </c>
      <c r="J666" s="57">
        <v>249.8486</v>
      </c>
      <c r="K666" s="57">
        <v>242.953</v>
      </c>
      <c r="L666" s="75" t="s">
        <v>3500</v>
      </c>
      <c r="M666" s="75" t="s">
        <v>3500</v>
      </c>
    </row>
    <row r="667" spans="1:13" x14ac:dyDescent="0.2">
      <c r="A667" s="54">
        <v>666</v>
      </c>
      <c r="B667" s="57" t="s">
        <v>1</v>
      </c>
      <c r="C667" s="57" t="s">
        <v>1916</v>
      </c>
      <c r="D667" s="59" t="s">
        <v>1</v>
      </c>
      <c r="E667" s="57" t="s">
        <v>1</v>
      </c>
      <c r="F667" s="57" t="s">
        <v>1</v>
      </c>
      <c r="G667" s="57">
        <v>12.4434</v>
      </c>
      <c r="H667" s="57">
        <v>316.94099999999997</v>
      </c>
      <c r="I667" s="57">
        <v>85.973399999999998</v>
      </c>
      <c r="J667" s="57">
        <v>262.94240000000002</v>
      </c>
      <c r="K667" s="57">
        <v>249.98240000000001</v>
      </c>
      <c r="L667" s="75">
        <v>0</v>
      </c>
      <c r="M667" s="75" t="s">
        <v>1</v>
      </c>
    </row>
    <row r="668" spans="1:13" x14ac:dyDescent="0.2">
      <c r="A668" s="54">
        <v>667</v>
      </c>
      <c r="B668" s="57">
        <v>543</v>
      </c>
      <c r="C668" s="57" t="s">
        <v>1768</v>
      </c>
      <c r="D668" s="59" t="s">
        <v>1769</v>
      </c>
      <c r="E668" s="57" t="s">
        <v>721</v>
      </c>
      <c r="F668" s="57">
        <v>344.0138</v>
      </c>
      <c r="G668" s="57">
        <v>13.4529</v>
      </c>
      <c r="H668" s="57">
        <v>227.10659999999999</v>
      </c>
      <c r="I668" s="57">
        <v>228.10980000000001</v>
      </c>
      <c r="J668" s="57">
        <v>152.06180000000001</v>
      </c>
      <c r="K668" s="57">
        <v>212.083</v>
      </c>
      <c r="L668" s="75" t="s">
        <v>720</v>
      </c>
      <c r="M668" s="75" t="s">
        <v>720</v>
      </c>
    </row>
    <row r="669" spans="1:13" x14ac:dyDescent="0.2">
      <c r="A669" s="54">
        <v>668</v>
      </c>
      <c r="B669" s="57" t="s">
        <v>1</v>
      </c>
      <c r="C669" s="57" t="s">
        <v>2023</v>
      </c>
      <c r="D669" s="59" t="s">
        <v>1</v>
      </c>
      <c r="E669" s="57" t="s">
        <v>1</v>
      </c>
      <c r="F669" s="57" t="s">
        <v>1</v>
      </c>
      <c r="G669" s="57">
        <v>3.7643</v>
      </c>
      <c r="H669" s="57">
        <v>344.01400000000001</v>
      </c>
      <c r="I669" s="57">
        <v>341.01769999999999</v>
      </c>
      <c r="J669" s="57">
        <v>343.01420000000002</v>
      </c>
      <c r="K669" s="57">
        <v>342.01729999999998</v>
      </c>
      <c r="L669" s="75">
        <v>0</v>
      </c>
      <c r="M669" s="75" t="s">
        <v>1</v>
      </c>
    </row>
    <row r="670" spans="1:13" x14ac:dyDescent="0.2">
      <c r="A670" s="54">
        <v>669</v>
      </c>
      <c r="B670" s="57">
        <v>544</v>
      </c>
      <c r="C670" s="57" t="s">
        <v>1898</v>
      </c>
      <c r="D670" s="59" t="s">
        <v>3351</v>
      </c>
      <c r="E670" s="57" t="s">
        <v>750</v>
      </c>
      <c r="F670" s="57">
        <v>317.95370000000003</v>
      </c>
      <c r="G670" s="57">
        <v>11.0206</v>
      </c>
      <c r="H670" s="57">
        <v>235.00790000000001</v>
      </c>
      <c r="I670" s="57">
        <v>237.00489999999999</v>
      </c>
      <c r="J670" s="57">
        <v>165.06970000000001</v>
      </c>
      <c r="K670" s="57">
        <v>199.0309</v>
      </c>
      <c r="L670" s="75" t="s">
        <v>749</v>
      </c>
      <c r="M670" s="75" t="s">
        <v>749</v>
      </c>
    </row>
    <row r="671" spans="1:13" x14ac:dyDescent="0.2">
      <c r="A671" s="54">
        <v>670</v>
      </c>
      <c r="B671" s="57" t="s">
        <v>1</v>
      </c>
      <c r="C671" s="57" t="s">
        <v>1742</v>
      </c>
      <c r="D671" s="59" t="s">
        <v>1</v>
      </c>
      <c r="E671" s="57" t="s">
        <v>1</v>
      </c>
      <c r="F671" s="57" t="s">
        <v>1</v>
      </c>
      <c r="G671" s="57">
        <v>11.022600000000001</v>
      </c>
      <c r="H671" s="57">
        <v>235.00790000000001</v>
      </c>
      <c r="I671" s="57">
        <v>237.00489999999999</v>
      </c>
      <c r="J671" s="57">
        <v>165.06970000000001</v>
      </c>
      <c r="K671" s="57">
        <v>199.0309</v>
      </c>
      <c r="L671" s="75">
        <v>0</v>
      </c>
      <c r="M671" s="75" t="s">
        <v>1</v>
      </c>
    </row>
    <row r="672" spans="1:13" x14ac:dyDescent="0.2">
      <c r="A672" s="54">
        <v>671</v>
      </c>
      <c r="B672" s="57">
        <v>545</v>
      </c>
      <c r="C672" s="57" t="s">
        <v>1901</v>
      </c>
      <c r="D672" s="59" t="s">
        <v>3279</v>
      </c>
      <c r="E672" s="57" t="s">
        <v>727</v>
      </c>
      <c r="F672" s="57">
        <v>315.93799999999999</v>
      </c>
      <c r="G672" s="57">
        <v>10.031499999999999</v>
      </c>
      <c r="H672" s="57">
        <v>246.0008</v>
      </c>
      <c r="I672" s="57">
        <v>247.99789999999999</v>
      </c>
      <c r="J672" s="57">
        <v>317.9357</v>
      </c>
      <c r="K672" s="57">
        <v>315.93860000000001</v>
      </c>
      <c r="L672" s="75" t="s">
        <v>726</v>
      </c>
      <c r="M672" s="75" t="s">
        <v>726</v>
      </c>
    </row>
    <row r="673" spans="1:13" x14ac:dyDescent="0.2">
      <c r="A673" s="54">
        <v>672</v>
      </c>
      <c r="B673" s="57" t="s">
        <v>1</v>
      </c>
      <c r="C673" s="57" t="s">
        <v>1744</v>
      </c>
      <c r="D673" s="59" t="s">
        <v>1</v>
      </c>
      <c r="E673" s="57" t="s">
        <v>1</v>
      </c>
      <c r="F673" s="57" t="s">
        <v>1</v>
      </c>
      <c r="G673" s="57">
        <v>10.0335</v>
      </c>
      <c r="H673" s="57">
        <v>246.0008</v>
      </c>
      <c r="I673" s="57">
        <v>247.99789999999999</v>
      </c>
      <c r="J673" s="57">
        <v>317.9357</v>
      </c>
      <c r="K673" s="57">
        <v>315.93860000000001</v>
      </c>
      <c r="L673" s="75">
        <v>0</v>
      </c>
      <c r="M673" s="75" t="s">
        <v>1</v>
      </c>
    </row>
    <row r="674" spans="1:13" x14ac:dyDescent="0.2">
      <c r="A674" s="54">
        <v>673</v>
      </c>
      <c r="B674" s="57">
        <v>546</v>
      </c>
      <c r="C674" s="57" t="s">
        <v>1919</v>
      </c>
      <c r="D674" s="59" t="s">
        <v>1302</v>
      </c>
      <c r="E674" s="57" t="s">
        <v>741</v>
      </c>
      <c r="F674" s="57">
        <v>306.0942</v>
      </c>
      <c r="G674" s="57">
        <v>21.965299999999999</v>
      </c>
      <c r="H674" s="57">
        <v>223.04230000000001</v>
      </c>
      <c r="I674" s="57">
        <v>225.06739999999999</v>
      </c>
      <c r="J674" s="57">
        <v>179.0257</v>
      </c>
      <c r="K674" s="57">
        <v>306.09699999999998</v>
      </c>
      <c r="L674" s="75" t="s">
        <v>740</v>
      </c>
      <c r="M674" s="75" t="s">
        <v>740</v>
      </c>
    </row>
    <row r="675" spans="1:13" x14ac:dyDescent="0.2">
      <c r="A675" s="54">
        <v>674</v>
      </c>
      <c r="B675" s="57">
        <v>547</v>
      </c>
      <c r="C675" s="57" t="s">
        <v>3137</v>
      </c>
      <c r="D675" s="59" t="s">
        <v>3379</v>
      </c>
      <c r="E675" s="57" t="s">
        <v>3138</v>
      </c>
      <c r="F675" s="57">
        <v>427.88389999999998</v>
      </c>
      <c r="G675" s="57">
        <v>14.91</v>
      </c>
      <c r="H675" s="57">
        <v>423.87259999999998</v>
      </c>
      <c r="I675" s="57">
        <v>425.86939999999998</v>
      </c>
      <c r="J675" s="57">
        <v>152.06209999999999</v>
      </c>
      <c r="K675" s="57">
        <v>236.8407</v>
      </c>
      <c r="L675" s="75" t="s">
        <v>3627</v>
      </c>
      <c r="M675" s="75" t="s">
        <v>3627</v>
      </c>
    </row>
    <row r="676" spans="1:13" x14ac:dyDescent="0.2">
      <c r="A676" s="54">
        <v>675</v>
      </c>
      <c r="B676" s="57">
        <v>548</v>
      </c>
      <c r="C676" s="57" t="s">
        <v>3130</v>
      </c>
      <c r="D676" s="59" t="s">
        <v>3131</v>
      </c>
      <c r="E676" s="57" t="s">
        <v>3132</v>
      </c>
      <c r="F676" s="57">
        <v>663.95770000000005</v>
      </c>
      <c r="G676" s="57">
        <v>19.290500000000002</v>
      </c>
      <c r="H676" s="57">
        <v>616.98220000000003</v>
      </c>
      <c r="I676" s="57">
        <v>615.93539999999996</v>
      </c>
      <c r="J676" s="57">
        <v>666.9864</v>
      </c>
      <c r="K676" s="57">
        <v>662.99590000000001</v>
      </c>
      <c r="L676" s="75" t="s">
        <v>3412</v>
      </c>
      <c r="M676" s="75" t="s">
        <v>3412</v>
      </c>
    </row>
    <row r="677" spans="1:13" x14ac:dyDescent="0.2">
      <c r="A677" s="54">
        <v>676</v>
      </c>
      <c r="B677" s="57">
        <v>549</v>
      </c>
      <c r="C677" s="57" t="s">
        <v>3030</v>
      </c>
      <c r="D677" s="59" t="s">
        <v>3031</v>
      </c>
      <c r="E677" s="57" t="s">
        <v>3032</v>
      </c>
      <c r="F677" s="57">
        <v>241.1361</v>
      </c>
      <c r="G677" s="57">
        <v>7.6515000000000004</v>
      </c>
      <c r="H677" s="57">
        <v>241.1354</v>
      </c>
      <c r="I677" s="57">
        <v>184.06559999999999</v>
      </c>
      <c r="J677" s="57">
        <v>226.11269999999999</v>
      </c>
      <c r="K677" s="57">
        <v>199.089</v>
      </c>
      <c r="L677" s="75" t="s">
        <v>810</v>
      </c>
      <c r="M677" s="75" t="s">
        <v>810</v>
      </c>
    </row>
    <row r="678" spans="1:13" x14ac:dyDescent="0.2">
      <c r="A678" s="54">
        <v>677</v>
      </c>
      <c r="B678" s="57">
        <v>550</v>
      </c>
      <c r="C678" s="57" t="s">
        <v>1815</v>
      </c>
      <c r="D678" s="59" t="s">
        <v>1816</v>
      </c>
      <c r="E678" s="57" t="s">
        <v>1817</v>
      </c>
      <c r="F678" s="57">
        <v>371.82369999999997</v>
      </c>
      <c r="G678" s="57">
        <v>16.843599999999999</v>
      </c>
      <c r="H678" s="57">
        <v>373.82130000000001</v>
      </c>
      <c r="I678" s="57">
        <v>375.81819999999999</v>
      </c>
      <c r="J678" s="57">
        <v>371.82409999999999</v>
      </c>
      <c r="K678" s="57">
        <v>377.81509999999997</v>
      </c>
      <c r="L678" s="75" t="s">
        <v>3431</v>
      </c>
      <c r="M678" s="75" t="s">
        <v>3431</v>
      </c>
    </row>
    <row r="679" spans="1:13" x14ac:dyDescent="0.2">
      <c r="A679" s="54">
        <v>678</v>
      </c>
      <c r="B679" s="57">
        <v>551</v>
      </c>
      <c r="C679" s="57" t="s">
        <v>1991</v>
      </c>
      <c r="D679" s="59" t="s">
        <v>1227</v>
      </c>
      <c r="E679" s="57" t="s">
        <v>937</v>
      </c>
      <c r="F679" s="57">
        <v>345.97800000000001</v>
      </c>
      <c r="G679" s="57">
        <v>4.6574999999999998</v>
      </c>
      <c r="H679" s="57">
        <v>345.97609999999997</v>
      </c>
      <c r="I679" s="57">
        <v>137.0598</v>
      </c>
      <c r="J679" s="57">
        <v>238.9675</v>
      </c>
      <c r="K679" s="57">
        <v>239.874</v>
      </c>
      <c r="L679" s="75" t="s">
        <v>936</v>
      </c>
      <c r="M679" s="75" t="s">
        <v>936</v>
      </c>
    </row>
    <row r="680" spans="1:13" x14ac:dyDescent="0.2">
      <c r="A680" s="54">
        <v>679</v>
      </c>
      <c r="B680" s="57">
        <v>552</v>
      </c>
      <c r="C680" s="57" t="s">
        <v>1869</v>
      </c>
      <c r="D680" s="59" t="s">
        <v>1870</v>
      </c>
      <c r="E680" s="57" t="s">
        <v>673</v>
      </c>
      <c r="F680" s="57">
        <v>316.99450000000002</v>
      </c>
      <c r="G680" s="57">
        <v>13.123200000000001</v>
      </c>
      <c r="H680" s="57">
        <v>160.0393</v>
      </c>
      <c r="I680" s="57">
        <v>316.00630000000001</v>
      </c>
      <c r="J680" s="57">
        <v>161.0427</v>
      </c>
      <c r="K680" s="57">
        <v>319.00650000000002</v>
      </c>
      <c r="L680" s="75" t="s">
        <v>672</v>
      </c>
      <c r="M680" s="75" t="s">
        <v>672</v>
      </c>
    </row>
    <row r="681" spans="1:13" x14ac:dyDescent="0.2">
      <c r="A681" s="54">
        <v>680</v>
      </c>
      <c r="B681" s="57">
        <v>553</v>
      </c>
      <c r="C681" s="57" t="s">
        <v>2574</v>
      </c>
      <c r="D681" s="59" t="s">
        <v>2575</v>
      </c>
      <c r="E681" s="57" t="s">
        <v>2576</v>
      </c>
      <c r="F681" s="57">
        <v>171.85230000000001</v>
      </c>
      <c r="G681" s="57">
        <v>7.7439</v>
      </c>
      <c r="H681" s="57">
        <v>173.90940000000001</v>
      </c>
      <c r="I681" s="57">
        <v>175.90639999999999</v>
      </c>
      <c r="J681" s="57">
        <v>176.90620000000001</v>
      </c>
      <c r="K681" s="57">
        <v>94.960700000000003</v>
      </c>
      <c r="L681" s="75" t="s">
        <v>3387</v>
      </c>
      <c r="M681" s="75" t="s">
        <v>3387</v>
      </c>
    </row>
    <row r="682" spans="1:13" x14ac:dyDescent="0.2">
      <c r="A682" s="54">
        <v>681</v>
      </c>
      <c r="B682" s="57">
        <v>554</v>
      </c>
      <c r="C682" s="57" t="s">
        <v>2543</v>
      </c>
      <c r="D682" s="59" t="s">
        <v>2544</v>
      </c>
      <c r="E682" s="57" t="s">
        <v>2545</v>
      </c>
      <c r="F682" s="57">
        <v>127.9028</v>
      </c>
      <c r="G682" s="57">
        <v>3.2797999999999998</v>
      </c>
      <c r="H682" s="57">
        <v>129.90469999999999</v>
      </c>
      <c r="I682" s="57">
        <v>130.9032</v>
      </c>
      <c r="J682" s="57">
        <v>131.9016</v>
      </c>
      <c r="K682" s="57">
        <v>132.90039999999999</v>
      </c>
      <c r="L682" s="75" t="s">
        <v>3385</v>
      </c>
      <c r="M682" s="75" t="s">
        <v>3385</v>
      </c>
    </row>
    <row r="683" spans="1:13" x14ac:dyDescent="0.2">
      <c r="A683" s="54">
        <v>682</v>
      </c>
      <c r="B683" s="57">
        <v>555</v>
      </c>
      <c r="C683" s="57" t="s">
        <v>1917</v>
      </c>
      <c r="D683" s="59" t="s">
        <v>1757</v>
      </c>
      <c r="E683" s="57" t="s">
        <v>1758</v>
      </c>
      <c r="F683" s="57">
        <v>377.87060000000002</v>
      </c>
      <c r="G683" s="57">
        <v>11.6023</v>
      </c>
      <c r="H683" s="57">
        <v>316.94099999999997</v>
      </c>
      <c r="I683" s="57">
        <v>85.973399999999998</v>
      </c>
      <c r="J683" s="57">
        <v>344.89859999999999</v>
      </c>
      <c r="K683" s="57">
        <v>249.98240000000001</v>
      </c>
      <c r="L683" s="75" t="s">
        <v>3500</v>
      </c>
      <c r="M683" s="75" t="s">
        <v>3500</v>
      </c>
    </row>
    <row r="684" spans="1:13" x14ac:dyDescent="0.2">
      <c r="A684" s="54">
        <v>683</v>
      </c>
      <c r="B684" s="57" t="s">
        <v>1</v>
      </c>
      <c r="C684" s="57" t="s">
        <v>1756</v>
      </c>
      <c r="D684" s="59" t="s">
        <v>1</v>
      </c>
      <c r="E684" s="57" t="s">
        <v>1</v>
      </c>
      <c r="F684" s="57" t="s">
        <v>1</v>
      </c>
      <c r="G684" s="57">
        <v>11.1439</v>
      </c>
      <c r="H684" s="57">
        <v>344.89819999999997</v>
      </c>
      <c r="I684" s="57">
        <v>249.84889999999999</v>
      </c>
      <c r="J684" s="57">
        <v>342.90089999999998</v>
      </c>
      <c r="K684" s="57">
        <v>316.90320000000003</v>
      </c>
      <c r="L684" s="75">
        <v>0</v>
      </c>
      <c r="M684" s="75" t="s">
        <v>1</v>
      </c>
    </row>
    <row r="685" spans="1:13" x14ac:dyDescent="0.2">
      <c r="A685" s="54">
        <v>684</v>
      </c>
      <c r="B685" s="57">
        <v>556</v>
      </c>
      <c r="C685" s="57" t="s">
        <v>2508</v>
      </c>
      <c r="D685" s="59" t="s">
        <v>1254</v>
      </c>
      <c r="E685" s="57" t="s">
        <v>837</v>
      </c>
      <c r="F685" s="57">
        <v>381.07429999999999</v>
      </c>
      <c r="G685" s="57">
        <v>7.0757000000000003</v>
      </c>
      <c r="H685" s="57">
        <v>210.06800000000001</v>
      </c>
      <c r="I685" s="57">
        <v>197.06020000000001</v>
      </c>
      <c r="J685" s="57">
        <v>199.05719999999999</v>
      </c>
      <c r="K685" s="57">
        <v>198.0635</v>
      </c>
      <c r="L685" s="75" t="s">
        <v>836</v>
      </c>
      <c r="M685" s="75" t="s">
        <v>836</v>
      </c>
    </row>
    <row r="686" spans="1:13" x14ac:dyDescent="0.2">
      <c r="A686" s="54">
        <v>685</v>
      </c>
      <c r="B686" s="57">
        <v>557</v>
      </c>
      <c r="C686" s="57" t="s">
        <v>1654</v>
      </c>
      <c r="D686" s="59" t="s">
        <v>1655</v>
      </c>
      <c r="E686" s="57" t="s">
        <v>1656</v>
      </c>
      <c r="F686" s="57">
        <v>357.84440000000001</v>
      </c>
      <c r="G686" s="57">
        <v>14.334300000000001</v>
      </c>
      <c r="H686" s="57">
        <v>359.8408</v>
      </c>
      <c r="I686" s="57">
        <v>361.83769999999998</v>
      </c>
      <c r="J686" s="57">
        <v>357.84379999999999</v>
      </c>
      <c r="K686" s="57">
        <v>289.9033</v>
      </c>
      <c r="L686" s="75" t="s">
        <v>282</v>
      </c>
      <c r="M686" s="75" t="s">
        <v>282</v>
      </c>
    </row>
    <row r="687" spans="1:13" x14ac:dyDescent="0.2">
      <c r="A687" s="54">
        <v>686</v>
      </c>
      <c r="B687" s="57">
        <v>558</v>
      </c>
      <c r="C687" s="57" t="s">
        <v>1674</v>
      </c>
      <c r="D687" s="59" t="s">
        <v>1543</v>
      </c>
      <c r="E687" s="57" t="s">
        <v>292</v>
      </c>
      <c r="F687" s="57">
        <v>391.80549999999999</v>
      </c>
      <c r="G687" s="57">
        <v>13.735900000000001</v>
      </c>
      <c r="H687" s="57">
        <v>393.80169999999998</v>
      </c>
      <c r="I687" s="57">
        <v>395.7987</v>
      </c>
      <c r="J687" s="57">
        <v>323.86430000000001</v>
      </c>
      <c r="K687" s="57">
        <v>397.79590000000002</v>
      </c>
      <c r="L687" s="75" t="s">
        <v>291</v>
      </c>
      <c r="M687" s="75" t="s">
        <v>291</v>
      </c>
    </row>
    <row r="688" spans="1:13" x14ac:dyDescent="0.2">
      <c r="A688" s="54">
        <v>687</v>
      </c>
      <c r="B688" s="57">
        <v>559</v>
      </c>
      <c r="C688" s="57" t="s">
        <v>1684</v>
      </c>
      <c r="D688" s="59" t="s">
        <v>1685</v>
      </c>
      <c r="E688" s="57" t="s">
        <v>1686</v>
      </c>
      <c r="F688" s="57">
        <v>425.76650000000001</v>
      </c>
      <c r="G688" s="57">
        <v>16.090299999999999</v>
      </c>
      <c r="H688" s="57">
        <v>429.75990000000002</v>
      </c>
      <c r="I688" s="57">
        <v>427.7629</v>
      </c>
      <c r="J688" s="57">
        <v>431.75689999999997</v>
      </c>
      <c r="K688" s="57">
        <v>357.8252</v>
      </c>
      <c r="L688" s="75" t="s">
        <v>3509</v>
      </c>
      <c r="M688" s="75" t="s">
        <v>3509</v>
      </c>
    </row>
    <row r="689" spans="1:13" x14ac:dyDescent="0.2">
      <c r="A689" s="54">
        <v>688</v>
      </c>
      <c r="B689" s="57">
        <v>560</v>
      </c>
      <c r="C689" s="57" t="s">
        <v>2612</v>
      </c>
      <c r="D689" s="59" t="s">
        <v>2613</v>
      </c>
      <c r="E689" s="57" t="s">
        <v>2614</v>
      </c>
      <c r="F689" s="57">
        <v>83.953400000000002</v>
      </c>
      <c r="G689" s="57">
        <v>3.2887</v>
      </c>
      <c r="H689" s="57">
        <v>224.8409</v>
      </c>
      <c r="I689" s="57">
        <v>222.84379999999999</v>
      </c>
      <c r="J689" s="57">
        <v>226.83789999999999</v>
      </c>
      <c r="K689" s="57">
        <v>228.83500000000001</v>
      </c>
      <c r="L689" s="75" t="s">
        <v>3386</v>
      </c>
      <c r="M689" s="75" t="s">
        <v>3386</v>
      </c>
    </row>
    <row r="690" spans="1:13" x14ac:dyDescent="0.2">
      <c r="A690" s="54">
        <v>689</v>
      </c>
      <c r="B690" s="57">
        <v>561</v>
      </c>
      <c r="C690" s="57" t="s">
        <v>2547</v>
      </c>
      <c r="D690" s="59" t="s">
        <v>3546</v>
      </c>
      <c r="E690" s="57" t="s">
        <v>2548</v>
      </c>
      <c r="F690" s="57">
        <v>249.7628</v>
      </c>
      <c r="G690" s="57">
        <v>5.9467999999999996</v>
      </c>
      <c r="H690" s="57">
        <v>172.9419</v>
      </c>
      <c r="I690" s="57">
        <v>171.95189999999999</v>
      </c>
      <c r="J690" s="57">
        <v>250.9846</v>
      </c>
      <c r="K690" s="57">
        <v>249.76410000000001</v>
      </c>
      <c r="L690" s="75" t="s">
        <v>3398</v>
      </c>
      <c r="M690" s="75" t="s">
        <v>3398</v>
      </c>
    </row>
    <row r="691" spans="1:13" x14ac:dyDescent="0.2">
      <c r="A691" s="54">
        <v>690</v>
      </c>
      <c r="B691" s="57">
        <v>562</v>
      </c>
      <c r="C691" s="57" t="s">
        <v>2546</v>
      </c>
      <c r="D691" s="59" t="s">
        <v>3352</v>
      </c>
      <c r="E691" s="57" t="s">
        <v>435</v>
      </c>
      <c r="F691" s="57">
        <v>161.8639</v>
      </c>
      <c r="G691" s="57">
        <v>9.2335999999999991</v>
      </c>
      <c r="H691" s="57">
        <v>128.89259999999999</v>
      </c>
      <c r="I691" s="57">
        <v>124.98220000000001</v>
      </c>
      <c r="J691" s="57">
        <v>85.028499999999994</v>
      </c>
      <c r="K691" s="57">
        <v>129.93729999999999</v>
      </c>
      <c r="L691" s="75" t="s">
        <v>434</v>
      </c>
      <c r="M691" s="75" t="s">
        <v>434</v>
      </c>
    </row>
    <row r="692" spans="1:13" x14ac:dyDescent="0.2">
      <c r="A692" s="54">
        <v>691</v>
      </c>
      <c r="B692" s="57">
        <v>563</v>
      </c>
      <c r="C692" s="57" t="s">
        <v>2577</v>
      </c>
      <c r="D692" s="59" t="s">
        <v>2578</v>
      </c>
      <c r="E692" s="57" t="s">
        <v>2579</v>
      </c>
      <c r="F692" s="57">
        <v>97.968999999999994</v>
      </c>
      <c r="G692" s="57">
        <v>5.9827000000000004</v>
      </c>
      <c r="H692" s="57">
        <v>94.968299999999999</v>
      </c>
      <c r="I692" s="57">
        <v>96.965299999999999</v>
      </c>
      <c r="J692" s="57">
        <v>95.934200000000004</v>
      </c>
      <c r="K692" s="57">
        <v>97.968900000000005</v>
      </c>
      <c r="L692" s="75" t="s">
        <v>3604</v>
      </c>
      <c r="M692" s="75" t="s">
        <v>3604</v>
      </c>
    </row>
    <row r="693" spans="1:13" x14ac:dyDescent="0.2">
      <c r="A693" s="54">
        <v>692</v>
      </c>
      <c r="B693" s="57">
        <v>564</v>
      </c>
      <c r="C693" s="57" t="s">
        <v>2583</v>
      </c>
      <c r="D693" s="59" t="s">
        <v>2584</v>
      </c>
      <c r="E693" s="57" t="s">
        <v>2585</v>
      </c>
      <c r="F693" s="57">
        <v>95.953400000000002</v>
      </c>
      <c r="G693" s="57">
        <v>5.9333</v>
      </c>
      <c r="H693" s="57">
        <v>95.952799999999996</v>
      </c>
      <c r="I693" s="57">
        <v>97.9499</v>
      </c>
      <c r="J693" s="57">
        <v>94.945099999999996</v>
      </c>
      <c r="K693" s="57">
        <v>96.942099999999996</v>
      </c>
      <c r="M693" s="75" t="s">
        <v>3614</v>
      </c>
    </row>
    <row r="694" spans="1:13" x14ac:dyDescent="0.2">
      <c r="A694" s="54">
        <v>693</v>
      </c>
      <c r="B694" s="57">
        <v>565</v>
      </c>
      <c r="C694" s="57" t="s">
        <v>2529</v>
      </c>
      <c r="D694" s="59" t="s">
        <v>3353</v>
      </c>
      <c r="E694" s="57" t="s">
        <v>224</v>
      </c>
      <c r="F694" s="57">
        <v>248.10489999999999</v>
      </c>
      <c r="G694" s="57">
        <v>15.070600000000001</v>
      </c>
      <c r="H694" s="57">
        <v>248.10300000000001</v>
      </c>
      <c r="I694" s="57">
        <v>149.0582</v>
      </c>
      <c r="J694" s="57">
        <v>150.0615</v>
      </c>
      <c r="K694" s="57">
        <v>105.0446</v>
      </c>
      <c r="L694" s="75" t="s">
        <v>223</v>
      </c>
      <c r="M694" s="75" t="s">
        <v>223</v>
      </c>
    </row>
    <row r="695" spans="1:13" x14ac:dyDescent="0.2">
      <c r="A695" s="54">
        <v>694</v>
      </c>
      <c r="B695" s="57">
        <v>566</v>
      </c>
      <c r="C695" s="57" t="s">
        <v>2468</v>
      </c>
      <c r="D695" s="59" t="s">
        <v>3244</v>
      </c>
      <c r="E695" s="57" t="s">
        <v>2469</v>
      </c>
      <c r="F695" s="57">
        <v>157.96250000000001</v>
      </c>
      <c r="G695" s="57">
        <v>7.8796999999999997</v>
      </c>
      <c r="H695" s="57">
        <v>157.96209999999999</v>
      </c>
      <c r="I695" s="57">
        <v>142.99270000000001</v>
      </c>
      <c r="J695" s="57">
        <v>124.9821</v>
      </c>
      <c r="K695" s="57">
        <v>127.95140000000001</v>
      </c>
      <c r="L695" s="75" t="s">
        <v>3466</v>
      </c>
      <c r="M695" s="75" t="s">
        <v>3466</v>
      </c>
    </row>
    <row r="696" spans="1:13" x14ac:dyDescent="0.2">
      <c r="A696" s="54">
        <v>695</v>
      </c>
      <c r="B696" s="57">
        <v>567</v>
      </c>
      <c r="C696" s="57" t="s">
        <v>3134</v>
      </c>
      <c r="D696" s="59" t="s">
        <v>1003</v>
      </c>
      <c r="E696" s="57" t="s">
        <v>272</v>
      </c>
      <c r="F696" s="57">
        <v>531.90290000000005</v>
      </c>
      <c r="G696" s="57">
        <v>5.5557999999999996</v>
      </c>
      <c r="H696" s="57">
        <v>130.9385</v>
      </c>
      <c r="I696" s="57">
        <v>182.08369999999999</v>
      </c>
      <c r="J696" s="57">
        <v>158.96960000000001</v>
      </c>
      <c r="K696" s="57">
        <v>113.9357</v>
      </c>
      <c r="L696" s="75" t="s">
        <v>271</v>
      </c>
      <c r="M696" s="75" t="s">
        <v>271</v>
      </c>
    </row>
    <row r="697" spans="1:13" x14ac:dyDescent="0.2">
      <c r="A697" s="54">
        <v>696</v>
      </c>
      <c r="B697" s="57">
        <v>568</v>
      </c>
      <c r="C697" s="57" t="s">
        <v>3025</v>
      </c>
      <c r="D697" s="59" t="s">
        <v>3354</v>
      </c>
      <c r="E697" s="57" t="s">
        <v>828</v>
      </c>
      <c r="F697" s="57">
        <v>189.11869999999999</v>
      </c>
      <c r="G697" s="57">
        <v>4.1220999999999997</v>
      </c>
      <c r="H697" s="57">
        <v>189.1182</v>
      </c>
      <c r="I697" s="57">
        <v>128.10720000000001</v>
      </c>
      <c r="J697" s="57">
        <v>132.08439999999999</v>
      </c>
      <c r="K697" s="57">
        <v>86.060199999999995</v>
      </c>
      <c r="L697" s="75"/>
      <c r="M697" s="75" t="s">
        <v>827</v>
      </c>
    </row>
    <row r="698" spans="1:13" x14ac:dyDescent="0.2">
      <c r="A698" s="54">
        <v>697</v>
      </c>
      <c r="B698" s="57" t="s">
        <v>1</v>
      </c>
      <c r="C698" s="57" t="s">
        <v>2765</v>
      </c>
      <c r="D698" s="59" t="s">
        <v>1</v>
      </c>
      <c r="E698" s="57" t="s">
        <v>1</v>
      </c>
      <c r="F698" s="57" t="s">
        <v>1</v>
      </c>
      <c r="G698" s="57">
        <v>4.1186999999999996</v>
      </c>
      <c r="H698" s="57">
        <v>189.1183</v>
      </c>
      <c r="I698" s="57">
        <v>128.1071</v>
      </c>
      <c r="J698" s="57">
        <v>132.08439999999999</v>
      </c>
      <c r="K698" s="57">
        <v>133.08770000000001</v>
      </c>
      <c r="L698" s="75">
        <v>0</v>
      </c>
      <c r="M698" s="75" t="s">
        <v>1</v>
      </c>
    </row>
    <row r="699" spans="1:13" x14ac:dyDescent="0.2">
      <c r="A699" s="54">
        <v>698</v>
      </c>
      <c r="B699" s="57">
        <v>569</v>
      </c>
      <c r="C699" s="57" t="s">
        <v>2861</v>
      </c>
      <c r="D699" s="59" t="s">
        <v>2862</v>
      </c>
      <c r="E699" s="57" t="s">
        <v>2863</v>
      </c>
      <c r="F699" s="57">
        <v>199.85210000000001</v>
      </c>
      <c r="G699" s="57">
        <v>14.3986</v>
      </c>
      <c r="H699" s="57">
        <v>166.90309999999999</v>
      </c>
      <c r="I699" s="57">
        <v>116.9061</v>
      </c>
      <c r="J699" s="57">
        <v>118.90309999999999</v>
      </c>
      <c r="K699" s="57">
        <v>167.90639999999999</v>
      </c>
      <c r="L699" s="75" t="s">
        <v>3628</v>
      </c>
      <c r="M699" s="75" t="s">
        <v>3628</v>
      </c>
    </row>
    <row r="700" spans="1:13" x14ac:dyDescent="0.2">
      <c r="A700" s="54">
        <v>699</v>
      </c>
      <c r="B700" s="57">
        <v>570</v>
      </c>
      <c r="C700" s="57" t="s">
        <v>1923</v>
      </c>
      <c r="D700" s="59" t="s">
        <v>1763</v>
      </c>
      <c r="E700" s="57" t="s">
        <v>1764</v>
      </c>
      <c r="F700" s="57">
        <v>369.8211</v>
      </c>
      <c r="G700" s="57">
        <v>7.3662000000000001</v>
      </c>
      <c r="H700" s="57">
        <v>369.81979999999999</v>
      </c>
      <c r="I700" s="57">
        <v>271.81009999999998</v>
      </c>
      <c r="J700" s="57">
        <v>273.80720000000002</v>
      </c>
      <c r="K700" s="57">
        <v>269.81310000000002</v>
      </c>
      <c r="L700" s="75" t="s">
        <v>3483</v>
      </c>
      <c r="M700" s="75" t="s">
        <v>3483</v>
      </c>
    </row>
    <row r="701" spans="1:13" x14ac:dyDescent="0.2">
      <c r="A701" s="54">
        <v>700</v>
      </c>
      <c r="B701" s="57" t="s">
        <v>1</v>
      </c>
      <c r="C701" s="57" t="s">
        <v>1762</v>
      </c>
      <c r="D701" s="59" t="s">
        <v>1</v>
      </c>
      <c r="E701" s="57" t="s">
        <v>1</v>
      </c>
      <c r="F701" s="57" t="s">
        <v>1</v>
      </c>
      <c r="G701" s="57">
        <v>7.3681000000000001</v>
      </c>
      <c r="H701" s="57">
        <v>271.8098</v>
      </c>
      <c r="I701" s="57">
        <v>273.80669999999998</v>
      </c>
      <c r="J701" s="57">
        <v>370.82889999999998</v>
      </c>
      <c r="K701" s="57">
        <v>270.90570000000002</v>
      </c>
      <c r="L701" s="75">
        <v>0</v>
      </c>
      <c r="M701" s="75" t="s">
        <v>1</v>
      </c>
    </row>
    <row r="702" spans="1:13" x14ac:dyDescent="0.2">
      <c r="A702" s="54">
        <v>701</v>
      </c>
      <c r="B702" s="57">
        <v>571</v>
      </c>
      <c r="C702" s="57" t="s">
        <v>2467</v>
      </c>
      <c r="D702" s="59" t="s">
        <v>1051</v>
      </c>
      <c r="E702" s="57" t="s">
        <v>523</v>
      </c>
      <c r="F702" s="57">
        <v>137.0368</v>
      </c>
      <c r="G702" s="57">
        <v>5.5789999999999997</v>
      </c>
      <c r="H702" s="57">
        <v>137.03630000000001</v>
      </c>
      <c r="I702" s="57">
        <v>111.09990000000001</v>
      </c>
      <c r="J702" s="57">
        <v>112.11199999999999</v>
      </c>
      <c r="K702" s="57">
        <v>139.0155</v>
      </c>
      <c r="L702" s="75" t="s">
        <v>522</v>
      </c>
      <c r="M702" s="75" t="s">
        <v>522</v>
      </c>
    </row>
    <row r="703" spans="1:13" x14ac:dyDescent="0.2">
      <c r="A703" s="54">
        <v>702</v>
      </c>
      <c r="B703" s="57">
        <v>572</v>
      </c>
      <c r="C703" s="57" t="s">
        <v>2079</v>
      </c>
      <c r="D703" s="59" t="s">
        <v>1214</v>
      </c>
      <c r="E703" s="57" t="s">
        <v>965</v>
      </c>
      <c r="F703" s="57">
        <v>301.10270000000003</v>
      </c>
      <c r="G703" s="57">
        <v>19.226500000000001</v>
      </c>
      <c r="H703" s="57">
        <v>123.0806</v>
      </c>
      <c r="I703" s="57">
        <v>164.1516</v>
      </c>
      <c r="J703" s="57">
        <v>219.21080000000001</v>
      </c>
      <c r="K703" s="57">
        <v>204.18289999999999</v>
      </c>
      <c r="L703" s="75" t="s">
        <v>964</v>
      </c>
      <c r="M703" s="75" t="s">
        <v>964</v>
      </c>
    </row>
    <row r="704" spans="1:13" x14ac:dyDescent="0.2">
      <c r="A704" s="54">
        <v>703</v>
      </c>
      <c r="B704" s="57">
        <v>573</v>
      </c>
      <c r="C704" s="57" t="s">
        <v>2092</v>
      </c>
      <c r="D704" s="59" t="s">
        <v>2093</v>
      </c>
      <c r="E704" s="57" t="s">
        <v>603</v>
      </c>
      <c r="F704" s="57">
        <v>293.12950000000001</v>
      </c>
      <c r="G704" s="57">
        <v>13.2254</v>
      </c>
      <c r="H704" s="57">
        <v>236.1405</v>
      </c>
      <c r="I704" s="57">
        <v>235.1343</v>
      </c>
      <c r="J704" s="57">
        <v>234.1267</v>
      </c>
      <c r="K704" s="57">
        <v>238.1481</v>
      </c>
      <c r="L704" s="75" t="s">
        <v>602</v>
      </c>
      <c r="M704" s="75" t="s">
        <v>602</v>
      </c>
    </row>
    <row r="705" spans="1:13" x14ac:dyDescent="0.2">
      <c r="A705" s="54">
        <v>704</v>
      </c>
      <c r="B705" s="57">
        <v>574</v>
      </c>
      <c r="C705" s="57" t="s">
        <v>3106</v>
      </c>
      <c r="D705" s="59" t="s">
        <v>3107</v>
      </c>
      <c r="E705" s="57" t="s">
        <v>646</v>
      </c>
      <c r="F705" s="57">
        <v>331.17840000000001</v>
      </c>
      <c r="G705" s="57">
        <v>10.0517</v>
      </c>
      <c r="H705" s="57">
        <v>164.1516</v>
      </c>
      <c r="I705" s="57">
        <v>123.1169</v>
      </c>
      <c r="J705" s="57">
        <v>109.10129999999999</v>
      </c>
      <c r="K705" s="57">
        <v>151.11179999999999</v>
      </c>
      <c r="L705" s="75" t="s">
        <v>645</v>
      </c>
      <c r="M705" s="75" t="s">
        <v>645</v>
      </c>
    </row>
    <row r="706" spans="1:13" x14ac:dyDescent="0.2">
      <c r="A706" s="54">
        <v>705</v>
      </c>
      <c r="B706" s="57">
        <v>575</v>
      </c>
      <c r="C706" s="57" t="s">
        <v>2262</v>
      </c>
      <c r="D706" s="59" t="s">
        <v>2263</v>
      </c>
      <c r="E706" s="57" t="s">
        <v>2264</v>
      </c>
      <c r="F706" s="57">
        <v>269.81310000000002</v>
      </c>
      <c r="G706" s="57">
        <v>7.3707000000000003</v>
      </c>
      <c r="H706" s="57">
        <v>269.81270000000001</v>
      </c>
      <c r="I706" s="57">
        <v>236.8408</v>
      </c>
      <c r="J706" s="57">
        <v>238.83779999999999</v>
      </c>
      <c r="K706" s="57">
        <v>234.84379999999999</v>
      </c>
      <c r="L706" s="75" t="s">
        <v>3440</v>
      </c>
      <c r="M706" s="75" t="s">
        <v>3440</v>
      </c>
    </row>
    <row r="707" spans="1:13" x14ac:dyDescent="0.2">
      <c r="A707" s="54">
        <v>706</v>
      </c>
      <c r="B707" s="57" t="s">
        <v>1</v>
      </c>
      <c r="C707" s="57" t="s">
        <v>2265</v>
      </c>
      <c r="D707" s="59" t="s">
        <v>1</v>
      </c>
      <c r="E707" s="57" t="s">
        <v>1</v>
      </c>
      <c r="F707" s="57" t="s">
        <v>1</v>
      </c>
      <c r="G707" s="57">
        <v>14.4076</v>
      </c>
      <c r="H707" s="57">
        <v>269.81270000000001</v>
      </c>
      <c r="I707" s="57">
        <v>236.8408</v>
      </c>
      <c r="J707" s="57">
        <v>238.83779999999999</v>
      </c>
      <c r="K707" s="57">
        <v>234.84379999999999</v>
      </c>
      <c r="L707" s="75">
        <v>0</v>
      </c>
      <c r="M707" s="75" t="s">
        <v>1</v>
      </c>
    </row>
    <row r="708" spans="1:13" x14ac:dyDescent="0.2">
      <c r="A708" s="54">
        <v>707</v>
      </c>
      <c r="B708" s="57" t="s">
        <v>1</v>
      </c>
      <c r="C708" s="57" t="s">
        <v>2266</v>
      </c>
      <c r="D708" s="59" t="s">
        <v>1</v>
      </c>
      <c r="E708" s="57" t="s">
        <v>1</v>
      </c>
      <c r="F708" s="57" t="s">
        <v>1</v>
      </c>
      <c r="G708" s="57">
        <v>11.721299999999999</v>
      </c>
      <c r="H708" s="57">
        <v>269.81270000000001</v>
      </c>
      <c r="I708" s="57">
        <v>236.8408</v>
      </c>
      <c r="J708" s="57">
        <v>238.83779999999999</v>
      </c>
      <c r="K708" s="57">
        <v>234.84379999999999</v>
      </c>
      <c r="L708" s="75">
        <v>0</v>
      </c>
      <c r="M708" s="75" t="s">
        <v>1</v>
      </c>
    </row>
    <row r="709" spans="1:13" x14ac:dyDescent="0.2">
      <c r="A709" s="54">
        <v>708</v>
      </c>
      <c r="B709" s="57" t="s">
        <v>1</v>
      </c>
      <c r="C709" s="57" t="s">
        <v>2942</v>
      </c>
      <c r="D709" s="59" t="s">
        <v>1</v>
      </c>
      <c r="E709" s="57" t="s">
        <v>1</v>
      </c>
      <c r="F709" s="57" t="s">
        <v>1</v>
      </c>
      <c r="G709" s="57">
        <v>14.919</v>
      </c>
      <c r="H709" s="57">
        <v>269.81229999999999</v>
      </c>
      <c r="I709" s="57">
        <v>236.8407</v>
      </c>
      <c r="J709" s="57">
        <v>234.84370000000001</v>
      </c>
      <c r="K709" s="57">
        <v>238.83770000000001</v>
      </c>
      <c r="L709" s="75">
        <v>0</v>
      </c>
      <c r="M709" s="75" t="s">
        <v>1</v>
      </c>
    </row>
    <row r="710" spans="1:13" x14ac:dyDescent="0.2">
      <c r="A710" s="54">
        <v>709</v>
      </c>
      <c r="B710" s="57" t="s">
        <v>1</v>
      </c>
      <c r="C710" s="57" t="s">
        <v>2943</v>
      </c>
      <c r="D710" s="59" t="s">
        <v>1</v>
      </c>
      <c r="E710" s="57" t="s">
        <v>1</v>
      </c>
      <c r="F710" s="57" t="s">
        <v>1</v>
      </c>
      <c r="G710" s="57">
        <v>5.6085000000000003</v>
      </c>
      <c r="H710" s="57">
        <v>269.81229999999999</v>
      </c>
      <c r="I710" s="57">
        <v>236.8407</v>
      </c>
      <c r="J710" s="57">
        <v>234.84370000000001</v>
      </c>
      <c r="K710" s="57">
        <v>238.83770000000001</v>
      </c>
      <c r="L710" s="75">
        <v>0</v>
      </c>
      <c r="M710" s="75" t="s">
        <v>1</v>
      </c>
    </row>
    <row r="711" spans="1:13" x14ac:dyDescent="0.2">
      <c r="A711" s="54">
        <v>710</v>
      </c>
      <c r="B711" s="57">
        <v>576</v>
      </c>
      <c r="C711" s="57" t="s">
        <v>2459</v>
      </c>
      <c r="D711" s="59" t="s">
        <v>3172</v>
      </c>
      <c r="E711" s="57" t="s">
        <v>631</v>
      </c>
      <c r="F711" s="57">
        <v>232.05359999999999</v>
      </c>
      <c r="G711" s="57">
        <v>11.083500000000001</v>
      </c>
      <c r="H711" s="57">
        <v>215.02590000000001</v>
      </c>
      <c r="I711" s="57">
        <v>217.029</v>
      </c>
      <c r="J711" s="57">
        <v>216.02119999999999</v>
      </c>
      <c r="K711" s="57">
        <v>209.047</v>
      </c>
      <c r="L711" s="75" t="s">
        <v>630</v>
      </c>
      <c r="M711" s="75" t="s">
        <v>630</v>
      </c>
    </row>
    <row r="712" spans="1:13" x14ac:dyDescent="0.2">
      <c r="A712" s="54">
        <v>711</v>
      </c>
      <c r="B712" s="57">
        <v>577</v>
      </c>
      <c r="C712" s="57" t="s">
        <v>3029</v>
      </c>
      <c r="D712" s="59" t="s">
        <v>2216</v>
      </c>
      <c r="E712" s="57" t="s">
        <v>678</v>
      </c>
      <c r="F712" s="57">
        <v>224.04499999999999</v>
      </c>
      <c r="G712" s="57">
        <v>9.5716000000000001</v>
      </c>
      <c r="H712" s="57">
        <v>224.04429999999999</v>
      </c>
      <c r="I712" s="57">
        <v>127.0157</v>
      </c>
      <c r="J712" s="57">
        <v>164.02359999999999</v>
      </c>
      <c r="K712" s="57">
        <v>109.0051</v>
      </c>
      <c r="L712" s="75" t="s">
        <v>677</v>
      </c>
      <c r="M712" s="75" t="s">
        <v>677</v>
      </c>
    </row>
    <row r="713" spans="1:13" x14ac:dyDescent="0.2">
      <c r="A713" s="54">
        <v>712</v>
      </c>
      <c r="B713" s="57" t="s">
        <v>1</v>
      </c>
      <c r="C713" s="57" t="s">
        <v>2215</v>
      </c>
      <c r="D713" s="59" t="s">
        <v>1</v>
      </c>
      <c r="E713" s="57" t="s">
        <v>1</v>
      </c>
      <c r="F713" s="57" t="s">
        <v>1</v>
      </c>
      <c r="G713" s="57">
        <v>10.303100000000001</v>
      </c>
      <c r="H713" s="57">
        <v>224.04470000000001</v>
      </c>
      <c r="I713" s="57">
        <v>223.0368</v>
      </c>
      <c r="J713" s="57">
        <v>226.02379999999999</v>
      </c>
      <c r="K713" s="57">
        <v>225.0361</v>
      </c>
      <c r="L713" s="75">
        <v>0</v>
      </c>
      <c r="M713" s="75" t="s">
        <v>1</v>
      </c>
    </row>
    <row r="714" spans="1:13" x14ac:dyDescent="0.2">
      <c r="A714" s="54">
        <v>713</v>
      </c>
      <c r="B714" s="57">
        <v>578</v>
      </c>
      <c r="C714" s="57" t="s">
        <v>2396</v>
      </c>
      <c r="D714" s="59" t="s">
        <v>3245</v>
      </c>
      <c r="E714" s="57" t="s">
        <v>2397</v>
      </c>
      <c r="F714" s="57">
        <v>368.11770000000001</v>
      </c>
      <c r="G714" s="57">
        <v>15.4023</v>
      </c>
      <c r="H714" s="57">
        <v>368.1182</v>
      </c>
      <c r="I714" s="57">
        <v>367.1112</v>
      </c>
      <c r="J714" s="57">
        <v>165.0701</v>
      </c>
      <c r="K714" s="57">
        <v>261.0684</v>
      </c>
      <c r="L714" s="75" t="s">
        <v>320</v>
      </c>
      <c r="M714" s="75" t="s">
        <v>320</v>
      </c>
    </row>
    <row r="715" spans="1:13" x14ac:dyDescent="0.2">
      <c r="A715" s="54">
        <v>714</v>
      </c>
      <c r="B715" s="57">
        <v>579</v>
      </c>
      <c r="C715" s="57" t="s">
        <v>2408</v>
      </c>
      <c r="D715" s="59" t="s">
        <v>3280</v>
      </c>
      <c r="E715" s="57" t="s">
        <v>321</v>
      </c>
      <c r="F715" s="57">
        <v>368.11770000000001</v>
      </c>
      <c r="G715" s="57">
        <v>16.474299999999999</v>
      </c>
      <c r="H715" s="57">
        <v>368.1182</v>
      </c>
      <c r="I715" s="57">
        <v>367.1112</v>
      </c>
      <c r="J715" s="57">
        <v>165.0701</v>
      </c>
      <c r="K715" s="57">
        <v>261.0684</v>
      </c>
      <c r="L715" s="75" t="s">
        <v>320</v>
      </c>
      <c r="M715" s="75" t="s">
        <v>320</v>
      </c>
    </row>
    <row r="716" spans="1:13" x14ac:dyDescent="0.2">
      <c r="A716" s="54">
        <v>715</v>
      </c>
      <c r="B716" s="57">
        <v>580</v>
      </c>
      <c r="C716" s="57" t="s">
        <v>2400</v>
      </c>
      <c r="D716" s="59" t="s">
        <v>3281</v>
      </c>
      <c r="E716" s="57" t="s">
        <v>249</v>
      </c>
      <c r="F716" s="57">
        <v>434.35250000000002</v>
      </c>
      <c r="G716" s="57">
        <v>7.9740000000000002</v>
      </c>
      <c r="H716" s="57">
        <v>99.116799999999998</v>
      </c>
      <c r="I716" s="57">
        <v>113.0915</v>
      </c>
      <c r="J716" s="57">
        <v>237.22139999999999</v>
      </c>
      <c r="K716" s="57">
        <v>129.0909</v>
      </c>
      <c r="L716" s="75" t="s">
        <v>248</v>
      </c>
      <c r="M716" s="75" t="s">
        <v>248</v>
      </c>
    </row>
    <row r="717" spans="1:13" x14ac:dyDescent="0.2">
      <c r="A717" s="54">
        <v>716</v>
      </c>
      <c r="B717" s="57">
        <v>581</v>
      </c>
      <c r="C717" s="57" t="s">
        <v>2450</v>
      </c>
      <c r="D717" s="59" t="s">
        <v>3282</v>
      </c>
      <c r="E717" s="57" t="s">
        <v>254</v>
      </c>
      <c r="F717" s="57">
        <v>398.24329999999998</v>
      </c>
      <c r="G717" s="57">
        <v>12.7197</v>
      </c>
      <c r="H717" s="57">
        <v>124.99979999999999</v>
      </c>
      <c r="I717" s="57">
        <v>199.07300000000001</v>
      </c>
      <c r="J717" s="57">
        <v>297.18529999999998</v>
      </c>
      <c r="K717" s="57">
        <v>197.17240000000001</v>
      </c>
      <c r="L717" s="75" t="s">
        <v>253</v>
      </c>
      <c r="M717" s="75" t="s">
        <v>253</v>
      </c>
    </row>
    <row r="718" spans="1:13" x14ac:dyDescent="0.2">
      <c r="A718" s="54">
        <v>717</v>
      </c>
      <c r="B718" s="57">
        <v>582</v>
      </c>
      <c r="C718" s="57" t="s">
        <v>2267</v>
      </c>
      <c r="D718" s="59" t="s">
        <v>2268</v>
      </c>
      <c r="E718" s="57" t="s">
        <v>173</v>
      </c>
      <c r="F718" s="57">
        <v>138.1045</v>
      </c>
      <c r="G718" s="57">
        <v>3.7643</v>
      </c>
      <c r="H718" s="57">
        <v>138.10380000000001</v>
      </c>
      <c r="I718" s="57">
        <v>95.085499999999996</v>
      </c>
      <c r="J718" s="57">
        <v>129.0909</v>
      </c>
      <c r="K718" s="57">
        <v>123.1168</v>
      </c>
      <c r="L718" s="75" t="s">
        <v>172</v>
      </c>
      <c r="M718" s="75" t="s">
        <v>172</v>
      </c>
    </row>
    <row r="719" spans="1:13" x14ac:dyDescent="0.2">
      <c r="A719" s="54">
        <v>718</v>
      </c>
      <c r="B719" s="57" t="s">
        <v>1</v>
      </c>
      <c r="C719" s="57" t="s">
        <v>2948</v>
      </c>
      <c r="D719" s="59" t="s">
        <v>1</v>
      </c>
      <c r="E719" s="57" t="s">
        <v>1</v>
      </c>
      <c r="F719" s="57" t="s">
        <v>1</v>
      </c>
      <c r="G719" s="57">
        <v>5.2009999999999996</v>
      </c>
      <c r="H719" s="57">
        <v>138.10380000000001</v>
      </c>
      <c r="I719" s="57">
        <v>137.09610000000001</v>
      </c>
      <c r="J719" s="57">
        <v>139.11179999999999</v>
      </c>
      <c r="K719" s="57">
        <v>140.11519999999999</v>
      </c>
      <c r="L719" s="75">
        <v>0</v>
      </c>
      <c r="M719" s="75" t="s">
        <v>1</v>
      </c>
    </row>
    <row r="720" spans="1:13" x14ac:dyDescent="0.2">
      <c r="A720" s="54">
        <v>719</v>
      </c>
      <c r="B720" s="57">
        <v>583</v>
      </c>
      <c r="C720" s="57" t="s">
        <v>2592</v>
      </c>
      <c r="D720" s="59" t="s">
        <v>2593</v>
      </c>
      <c r="E720" s="57" t="s">
        <v>2594</v>
      </c>
      <c r="F720" s="57">
        <v>111.9847</v>
      </c>
      <c r="G720" s="57">
        <v>3.9986000000000002</v>
      </c>
      <c r="H720" s="57">
        <v>111.98439999999999</v>
      </c>
      <c r="I720" s="57">
        <v>113.9823</v>
      </c>
      <c r="J720" s="57">
        <v>110.9811</v>
      </c>
      <c r="K720" s="57">
        <v>114.976</v>
      </c>
      <c r="L720" s="75" t="s">
        <v>175</v>
      </c>
      <c r="M720" s="75" t="s">
        <v>175</v>
      </c>
    </row>
    <row r="721" spans="1:13" x14ac:dyDescent="0.2">
      <c r="A721" s="54">
        <v>720</v>
      </c>
      <c r="B721" s="57">
        <v>584</v>
      </c>
      <c r="C721" s="57" t="s">
        <v>2155</v>
      </c>
      <c r="D721" s="59" t="s">
        <v>2156</v>
      </c>
      <c r="E721" s="57" t="s">
        <v>2157</v>
      </c>
      <c r="F721" s="57">
        <v>341.97379999999998</v>
      </c>
      <c r="G721" s="57">
        <v>11.683199999999999</v>
      </c>
      <c r="H721" s="57">
        <v>341.97329999999999</v>
      </c>
      <c r="I721" s="57">
        <v>156.9871</v>
      </c>
      <c r="J721" s="57">
        <v>96.950599999999994</v>
      </c>
      <c r="K721" s="57">
        <v>295.9855</v>
      </c>
      <c r="L721" s="75" t="s">
        <v>3448</v>
      </c>
      <c r="M721" s="75" t="s">
        <v>3448</v>
      </c>
    </row>
    <row r="722" spans="1:13" x14ac:dyDescent="0.2">
      <c r="A722" s="54">
        <v>721</v>
      </c>
      <c r="B722" s="57">
        <v>585</v>
      </c>
      <c r="C722" s="57" t="s">
        <v>2988</v>
      </c>
      <c r="D722" s="59" t="s">
        <v>3355</v>
      </c>
      <c r="E722" s="57" t="s">
        <v>730</v>
      </c>
      <c r="F722" s="57">
        <v>351.91469999999998</v>
      </c>
      <c r="G722" s="57">
        <v>10.2095</v>
      </c>
      <c r="H722" s="57">
        <v>235.0076</v>
      </c>
      <c r="I722" s="57">
        <v>165.06970000000001</v>
      </c>
      <c r="J722" s="57">
        <v>237.00460000000001</v>
      </c>
      <c r="K722" s="57">
        <v>199.0308</v>
      </c>
      <c r="L722" s="75" t="s">
        <v>729</v>
      </c>
      <c r="M722" s="75" t="s">
        <v>729</v>
      </c>
    </row>
    <row r="723" spans="1:13" x14ac:dyDescent="0.2">
      <c r="A723" s="54">
        <v>722</v>
      </c>
      <c r="B723" s="57" t="s">
        <v>1</v>
      </c>
      <c r="C723" s="57" t="s">
        <v>1902</v>
      </c>
      <c r="D723" s="59" t="s">
        <v>1</v>
      </c>
      <c r="E723" s="57" t="s">
        <v>1</v>
      </c>
      <c r="F723" s="57" t="s">
        <v>1</v>
      </c>
      <c r="G723" s="57">
        <v>11.0206</v>
      </c>
      <c r="H723" s="57">
        <v>235.0076</v>
      </c>
      <c r="I723" s="57">
        <v>237.00460000000001</v>
      </c>
      <c r="J723" s="57">
        <v>165.06960000000001</v>
      </c>
      <c r="K723" s="57">
        <v>236.01079999999999</v>
      </c>
      <c r="L723" s="75">
        <v>0</v>
      </c>
      <c r="M723" s="75" t="s">
        <v>1</v>
      </c>
    </row>
    <row r="724" spans="1:13" x14ac:dyDescent="0.2">
      <c r="A724" s="54">
        <v>723</v>
      </c>
      <c r="B724" s="57" t="s">
        <v>1</v>
      </c>
      <c r="C724" s="57" t="s">
        <v>1788</v>
      </c>
      <c r="D724" s="59" t="s">
        <v>1</v>
      </c>
      <c r="E724" s="57" t="s">
        <v>1</v>
      </c>
      <c r="F724" s="57" t="s">
        <v>1</v>
      </c>
      <c r="G724" s="57">
        <v>11.022600000000001</v>
      </c>
      <c r="H724" s="57">
        <v>235.0076</v>
      </c>
      <c r="I724" s="57">
        <v>237.00460000000001</v>
      </c>
      <c r="J724" s="57">
        <v>165.06960000000001</v>
      </c>
      <c r="K724" s="57">
        <v>236.01079999999999</v>
      </c>
      <c r="L724" s="75">
        <v>0</v>
      </c>
      <c r="M724" s="75" t="s">
        <v>1</v>
      </c>
    </row>
    <row r="725" spans="1:13" x14ac:dyDescent="0.2">
      <c r="A725" s="54">
        <v>724</v>
      </c>
      <c r="B725" s="57">
        <v>586</v>
      </c>
      <c r="C725" s="57" t="s">
        <v>2637</v>
      </c>
      <c r="D725" s="59" t="s">
        <v>2638</v>
      </c>
      <c r="E725" s="57" t="s">
        <v>2639</v>
      </c>
      <c r="F725" s="57">
        <v>131.93</v>
      </c>
      <c r="G725" s="57">
        <v>6.6384999999999996</v>
      </c>
      <c r="H725" s="57">
        <v>96.913300000000007</v>
      </c>
      <c r="I725" s="57">
        <v>98.946600000000004</v>
      </c>
      <c r="J725" s="57">
        <v>129.9308</v>
      </c>
      <c r="K725" s="57">
        <v>130.93860000000001</v>
      </c>
      <c r="L725" s="75" t="s">
        <v>3626</v>
      </c>
      <c r="M725" s="75" t="s">
        <v>3626</v>
      </c>
    </row>
    <row r="726" spans="1:13" x14ac:dyDescent="0.2">
      <c r="A726" s="54">
        <v>725</v>
      </c>
      <c r="B726" s="57">
        <v>587</v>
      </c>
      <c r="C726" s="57" t="s">
        <v>2640</v>
      </c>
      <c r="D726" s="59" t="s">
        <v>2641</v>
      </c>
      <c r="E726" s="57" t="s">
        <v>2642</v>
      </c>
      <c r="F726" s="57">
        <v>129.9144</v>
      </c>
      <c r="G726" s="57">
        <v>5.3342000000000001</v>
      </c>
      <c r="H726" s="57">
        <v>130.9451</v>
      </c>
      <c r="I726" s="57">
        <v>95.934100000000001</v>
      </c>
      <c r="J726" s="57">
        <v>93.937200000000004</v>
      </c>
      <c r="K726" s="57">
        <v>132.94210000000001</v>
      </c>
      <c r="L726" s="75" t="s">
        <v>3626</v>
      </c>
      <c r="M726" s="75" t="s">
        <v>3626</v>
      </c>
    </row>
    <row r="727" spans="1:13" x14ac:dyDescent="0.2">
      <c r="A727" s="54">
        <v>726</v>
      </c>
      <c r="B727" s="57">
        <v>588</v>
      </c>
      <c r="C727" s="57" t="s">
        <v>2624</v>
      </c>
      <c r="D727" s="59" t="s">
        <v>2625</v>
      </c>
      <c r="E727" s="57" t="s">
        <v>2626</v>
      </c>
      <c r="F727" s="57">
        <v>165.89109999999999</v>
      </c>
      <c r="G727" s="57">
        <v>6.7748999999999997</v>
      </c>
      <c r="H727" s="57">
        <v>130.92169999999999</v>
      </c>
      <c r="I727" s="57">
        <v>132.9607</v>
      </c>
      <c r="J727" s="57">
        <v>94.968299999999999</v>
      </c>
      <c r="K727" s="57">
        <v>134.95779999999999</v>
      </c>
      <c r="L727" s="75" t="s">
        <v>3622</v>
      </c>
      <c r="M727" s="75" t="s">
        <v>3622</v>
      </c>
    </row>
    <row r="728" spans="1:13" x14ac:dyDescent="0.2">
      <c r="A728" s="54">
        <v>727</v>
      </c>
      <c r="B728" s="57">
        <v>589</v>
      </c>
      <c r="C728" s="57" t="s">
        <v>2412</v>
      </c>
      <c r="D728" s="59" t="s">
        <v>3356</v>
      </c>
      <c r="E728" s="57" t="s">
        <v>334</v>
      </c>
      <c r="F728" s="57">
        <v>539.75699999999995</v>
      </c>
      <c r="G728" s="57">
        <v>18.849699999999999</v>
      </c>
      <c r="H728" s="57">
        <v>528.72950000000003</v>
      </c>
      <c r="I728" s="57">
        <v>527.49639999999999</v>
      </c>
      <c r="J728" s="57">
        <v>530.72439999999995</v>
      </c>
      <c r="K728" s="57">
        <v>531.73030000000006</v>
      </c>
      <c r="L728" s="75" t="s">
        <v>333</v>
      </c>
      <c r="M728" s="75" t="s">
        <v>333</v>
      </c>
    </row>
    <row r="729" spans="1:13" x14ac:dyDescent="0.2">
      <c r="A729" s="54">
        <v>728</v>
      </c>
      <c r="B729" s="57" t="s">
        <v>1</v>
      </c>
      <c r="C729" s="57" t="s">
        <v>1728</v>
      </c>
      <c r="D729" s="59" t="s">
        <v>1</v>
      </c>
      <c r="E729" s="57" t="s">
        <v>1</v>
      </c>
      <c r="F729" s="57" t="s">
        <v>1</v>
      </c>
      <c r="G729" s="57">
        <v>18.813400000000001</v>
      </c>
      <c r="H729" s="57">
        <v>528.72940000000006</v>
      </c>
      <c r="I729" s="57">
        <v>530.72670000000005</v>
      </c>
      <c r="J729" s="57">
        <v>526.73209999999995</v>
      </c>
      <c r="K729" s="57">
        <v>543.75239999999997</v>
      </c>
      <c r="L729" s="75">
        <v>0</v>
      </c>
      <c r="M729" s="75" t="s">
        <v>1</v>
      </c>
    </row>
    <row r="730" spans="1:13" x14ac:dyDescent="0.2">
      <c r="A730" s="54">
        <v>729</v>
      </c>
      <c r="B730" s="57">
        <v>590</v>
      </c>
      <c r="C730" s="57" t="s">
        <v>2447</v>
      </c>
      <c r="D730" s="59" t="s">
        <v>2448</v>
      </c>
      <c r="E730" s="57" t="s">
        <v>2449</v>
      </c>
      <c r="F730" s="57">
        <v>363.95920000000001</v>
      </c>
      <c r="G730" s="57">
        <v>8.7807999999999993</v>
      </c>
      <c r="H730" s="57">
        <v>350.94810000000001</v>
      </c>
      <c r="I730" s="57">
        <v>352.9452</v>
      </c>
      <c r="J730" s="57">
        <v>349.9418</v>
      </c>
      <c r="K730" s="57">
        <v>347.94420000000002</v>
      </c>
      <c r="L730" s="75" t="s">
        <v>3414</v>
      </c>
      <c r="M730" s="75" t="s">
        <v>3414</v>
      </c>
    </row>
    <row r="731" spans="1:13" x14ac:dyDescent="0.2">
      <c r="A731" s="54">
        <v>730</v>
      </c>
      <c r="B731" s="57">
        <v>591</v>
      </c>
      <c r="C731" s="57" t="s">
        <v>2138</v>
      </c>
      <c r="D731" s="59" t="s">
        <v>2139</v>
      </c>
      <c r="E731" s="57" t="s">
        <v>2140</v>
      </c>
      <c r="F731" s="57">
        <v>383.13440000000003</v>
      </c>
      <c r="G731" s="57">
        <v>10.7667</v>
      </c>
      <c r="H731" s="57">
        <v>383.13330000000002</v>
      </c>
      <c r="I731" s="57">
        <v>282.07459999999998</v>
      </c>
      <c r="J731" s="57">
        <v>254.04320000000001</v>
      </c>
      <c r="K731" s="57">
        <v>283.07780000000002</v>
      </c>
      <c r="L731" s="75" t="s">
        <v>3522</v>
      </c>
      <c r="M731" s="75" t="s">
        <v>3522</v>
      </c>
    </row>
    <row r="732" spans="1:13" x14ac:dyDescent="0.2">
      <c r="A732" s="54">
        <v>731</v>
      </c>
      <c r="B732" s="57">
        <v>592</v>
      </c>
      <c r="C732" s="57" t="s">
        <v>2495</v>
      </c>
      <c r="D732" s="59" t="s">
        <v>3283</v>
      </c>
      <c r="E732" s="57" t="s">
        <v>852</v>
      </c>
      <c r="F732" s="57">
        <v>387.03070000000002</v>
      </c>
      <c r="G732" s="57">
        <v>7.7282000000000002</v>
      </c>
      <c r="H732" s="57">
        <v>141.02590000000001</v>
      </c>
      <c r="I732" s="57">
        <v>140.00620000000001</v>
      </c>
      <c r="J732" s="57">
        <v>139.0213</v>
      </c>
      <c r="K732" s="57">
        <v>138.03739999999999</v>
      </c>
      <c r="L732" s="75" t="s">
        <v>851</v>
      </c>
      <c r="M732" s="75" t="s">
        <v>851</v>
      </c>
    </row>
    <row r="733" spans="1:13" x14ac:dyDescent="0.2">
      <c r="A733" s="54">
        <v>732</v>
      </c>
      <c r="B733" s="57">
        <v>593</v>
      </c>
      <c r="C733" s="57" t="s">
        <v>3105</v>
      </c>
      <c r="D733" s="59" t="s">
        <v>1326</v>
      </c>
      <c r="E733" s="57" t="s">
        <v>638</v>
      </c>
      <c r="F733" s="57">
        <v>418.05709999999999</v>
      </c>
      <c r="G733" s="57">
        <v>18.986499999999999</v>
      </c>
      <c r="H733" s="57">
        <v>418.37150000000003</v>
      </c>
      <c r="I733" s="57">
        <v>417.36840000000001</v>
      </c>
      <c r="J733" s="57">
        <v>416.36500000000001</v>
      </c>
      <c r="K733" s="57">
        <v>413.34100000000001</v>
      </c>
      <c r="L733" s="75" t="s">
        <v>637</v>
      </c>
      <c r="M733" s="75" t="s">
        <v>637</v>
      </c>
    </row>
    <row r="734" spans="1:13" x14ac:dyDescent="0.2">
      <c r="A734" s="54">
        <v>733</v>
      </c>
      <c r="B734" s="57">
        <v>594</v>
      </c>
      <c r="C734" s="57" t="s">
        <v>2486</v>
      </c>
      <c r="D734" s="59" t="s">
        <v>3357</v>
      </c>
      <c r="E734" s="57" t="s">
        <v>241</v>
      </c>
      <c r="F734" s="57">
        <v>228.11500000000001</v>
      </c>
      <c r="G734" s="57">
        <v>8.9499999999999993</v>
      </c>
      <c r="H734" s="57">
        <v>228.11320000000001</v>
      </c>
      <c r="I734" s="57">
        <v>133.08860000000001</v>
      </c>
      <c r="J734" s="57">
        <v>117.0573</v>
      </c>
      <c r="K734" s="57">
        <v>132.08090000000001</v>
      </c>
      <c r="L734" s="75" t="s">
        <v>240</v>
      </c>
      <c r="M734" s="75" t="s">
        <v>240</v>
      </c>
    </row>
    <row r="735" spans="1:13" x14ac:dyDescent="0.2">
      <c r="A735" s="54">
        <v>734</v>
      </c>
      <c r="B735" s="57">
        <v>595</v>
      </c>
      <c r="C735" s="57" t="s">
        <v>2501</v>
      </c>
      <c r="D735" s="59" t="s">
        <v>3358</v>
      </c>
      <c r="E735" s="57" t="s">
        <v>237</v>
      </c>
      <c r="F735" s="57">
        <v>250.03</v>
      </c>
      <c r="G735" s="57">
        <v>10.8408</v>
      </c>
      <c r="H735" s="57">
        <v>251.00280000000001</v>
      </c>
      <c r="I735" s="57">
        <v>252.006</v>
      </c>
      <c r="J735" s="57">
        <v>254.00299999999999</v>
      </c>
      <c r="K735" s="57">
        <v>250.02760000000001</v>
      </c>
      <c r="L735" s="75" t="s">
        <v>236</v>
      </c>
      <c r="M735" s="75" t="s">
        <v>236</v>
      </c>
    </row>
    <row r="736" spans="1:13" x14ac:dyDescent="0.2">
      <c r="A736" s="54">
        <v>735</v>
      </c>
      <c r="B736" s="57">
        <v>596</v>
      </c>
      <c r="C736" s="57" t="s">
        <v>1893</v>
      </c>
      <c r="D736" s="59" t="s">
        <v>3359</v>
      </c>
      <c r="E736" s="57" t="s">
        <v>737</v>
      </c>
      <c r="F736" s="57">
        <v>301.95710000000003</v>
      </c>
      <c r="G736" s="57">
        <v>9.7993000000000006</v>
      </c>
      <c r="H736" s="57">
        <v>301.95670000000001</v>
      </c>
      <c r="I736" s="57">
        <v>174.9614</v>
      </c>
      <c r="J736" s="57">
        <v>110.9995</v>
      </c>
      <c r="K736" s="57">
        <v>176.95830000000001</v>
      </c>
      <c r="L736" s="75" t="s">
        <v>736</v>
      </c>
      <c r="M736" s="75" t="s">
        <v>736</v>
      </c>
    </row>
    <row r="737" spans="1:13" x14ac:dyDescent="0.2">
      <c r="A737" s="54">
        <v>736</v>
      </c>
      <c r="B737" s="57">
        <v>597</v>
      </c>
      <c r="C737" s="57" t="s">
        <v>1920</v>
      </c>
      <c r="D737" s="59" t="s">
        <v>1921</v>
      </c>
      <c r="E737" s="57" t="s">
        <v>1922</v>
      </c>
      <c r="F737" s="57">
        <v>267.99610000000001</v>
      </c>
      <c r="G737" s="57">
        <v>8.3638999999999992</v>
      </c>
      <c r="H737" s="57">
        <v>267.99560000000002</v>
      </c>
      <c r="I737" s="57">
        <v>141.00040000000001</v>
      </c>
      <c r="J737" s="57">
        <v>98.999499999999998</v>
      </c>
      <c r="K737" s="57">
        <v>269.99299999999999</v>
      </c>
      <c r="L737" s="75" t="s">
        <v>3541</v>
      </c>
      <c r="M737" s="75" t="s">
        <v>3541</v>
      </c>
    </row>
    <row r="738" spans="1:13" x14ac:dyDescent="0.2">
      <c r="A738" s="54">
        <v>737</v>
      </c>
      <c r="B738" s="57">
        <v>598</v>
      </c>
      <c r="C738" s="57" t="s">
        <v>2847</v>
      </c>
      <c r="D738" s="59" t="s">
        <v>3360</v>
      </c>
      <c r="E738" s="57" t="s">
        <v>494</v>
      </c>
      <c r="F738" s="57">
        <v>100.05240000000001</v>
      </c>
      <c r="G738" s="57">
        <v>9.8036999999999992</v>
      </c>
      <c r="H738" s="57">
        <v>100.0519</v>
      </c>
      <c r="I738" s="57">
        <v>101.05970000000001</v>
      </c>
      <c r="J738" s="57">
        <v>99.0441</v>
      </c>
      <c r="K738" s="57">
        <v>87.0441</v>
      </c>
      <c r="L738" s="75" t="s">
        <v>3629</v>
      </c>
      <c r="M738" s="75" t="s">
        <v>3629</v>
      </c>
    </row>
    <row r="739" spans="1:13" x14ac:dyDescent="0.2">
      <c r="A739" s="54">
        <v>738</v>
      </c>
      <c r="B739" s="57">
        <v>599</v>
      </c>
      <c r="C739" s="57" t="s">
        <v>2062</v>
      </c>
      <c r="D739" s="59" t="s">
        <v>2063</v>
      </c>
      <c r="E739" s="57" t="s">
        <v>644</v>
      </c>
      <c r="F739" s="57">
        <v>376.20389999999998</v>
      </c>
      <c r="G739" s="57">
        <v>17.840199999999999</v>
      </c>
      <c r="H739" s="57">
        <v>163.11160000000001</v>
      </c>
      <c r="I739" s="57">
        <v>135.08029999999999</v>
      </c>
      <c r="J739" s="57">
        <v>107.04900000000001</v>
      </c>
      <c r="K739" s="57">
        <v>376.20339999999999</v>
      </c>
      <c r="L739" s="75" t="s">
        <v>643</v>
      </c>
      <c r="M739" s="75" t="s">
        <v>643</v>
      </c>
    </row>
    <row r="740" spans="1:13" x14ac:dyDescent="0.2">
      <c r="A740" s="54">
        <v>739</v>
      </c>
      <c r="B740" s="57">
        <v>600</v>
      </c>
      <c r="C740" s="57" t="s">
        <v>2385</v>
      </c>
      <c r="D740" s="59" t="s">
        <v>3361</v>
      </c>
      <c r="E740" s="57" t="s">
        <v>544</v>
      </c>
      <c r="F740" s="57">
        <v>126.0082</v>
      </c>
      <c r="G740" s="57">
        <v>11.4329</v>
      </c>
      <c r="H740" s="57">
        <v>126.009</v>
      </c>
      <c r="I740" s="57">
        <v>125.0057</v>
      </c>
      <c r="J740" s="57">
        <v>94.995000000000005</v>
      </c>
      <c r="K740" s="57">
        <v>96.002899999999997</v>
      </c>
      <c r="L740" s="75" t="s">
        <v>543</v>
      </c>
      <c r="M740" s="75" t="s">
        <v>543</v>
      </c>
    </row>
    <row r="741" spans="1:13" x14ac:dyDescent="0.2">
      <c r="A741" s="54">
        <v>740</v>
      </c>
      <c r="B741" s="57" t="s">
        <v>1</v>
      </c>
      <c r="C741" s="57" t="s">
        <v>2386</v>
      </c>
      <c r="D741" s="59" t="s">
        <v>1</v>
      </c>
      <c r="E741" s="57" t="s">
        <v>1</v>
      </c>
      <c r="F741" s="57" t="s">
        <v>1</v>
      </c>
      <c r="G741" s="57">
        <v>8.1434999999999995</v>
      </c>
      <c r="H741" s="57">
        <v>126.009</v>
      </c>
      <c r="I741" s="57">
        <v>125.0057</v>
      </c>
      <c r="J741" s="57">
        <v>94.995000000000005</v>
      </c>
      <c r="K741" s="57">
        <v>96.002899999999997</v>
      </c>
      <c r="L741" s="75">
        <v>0</v>
      </c>
      <c r="M741" s="75" t="s">
        <v>1</v>
      </c>
    </row>
    <row r="742" spans="1:13" x14ac:dyDescent="0.2">
      <c r="A742" s="54">
        <v>741</v>
      </c>
      <c r="B742" s="57" t="s">
        <v>1</v>
      </c>
      <c r="C742" s="57" t="s">
        <v>2387</v>
      </c>
      <c r="D742" s="59" t="s">
        <v>1</v>
      </c>
      <c r="E742" s="57" t="s">
        <v>1</v>
      </c>
      <c r="F742" s="57" t="s">
        <v>1</v>
      </c>
      <c r="G742" s="57">
        <v>7.5852000000000004</v>
      </c>
      <c r="H742" s="57">
        <v>126.009</v>
      </c>
      <c r="I742" s="57">
        <v>125.0057</v>
      </c>
      <c r="J742" s="57">
        <v>94.995000000000005</v>
      </c>
      <c r="K742" s="57">
        <v>96.002899999999997</v>
      </c>
      <c r="L742" s="75">
        <v>0</v>
      </c>
      <c r="M742" s="75" t="s">
        <v>1</v>
      </c>
    </row>
    <row r="743" spans="1:13" x14ac:dyDescent="0.2">
      <c r="A743" s="54">
        <v>742</v>
      </c>
      <c r="B743" s="57">
        <v>601</v>
      </c>
      <c r="C743" s="57" t="s">
        <v>1999</v>
      </c>
      <c r="D743" s="59" t="s">
        <v>2000</v>
      </c>
      <c r="E743" s="57" t="s">
        <v>792</v>
      </c>
      <c r="F743" s="57">
        <v>239.07130000000001</v>
      </c>
      <c r="G743" s="57">
        <v>12.6995</v>
      </c>
      <c r="H743" s="57">
        <v>239.0727</v>
      </c>
      <c r="I743" s="57">
        <v>224.04900000000001</v>
      </c>
      <c r="J743" s="57">
        <v>176.08330000000001</v>
      </c>
      <c r="K743" s="57">
        <v>177.0549</v>
      </c>
      <c r="L743" s="75" t="s">
        <v>791</v>
      </c>
      <c r="M743" s="75" t="s">
        <v>791</v>
      </c>
    </row>
    <row r="744" spans="1:13" x14ac:dyDescent="0.2">
      <c r="A744" s="54">
        <v>743</v>
      </c>
      <c r="B744" s="57">
        <v>602</v>
      </c>
      <c r="C744" s="57" t="s">
        <v>1578</v>
      </c>
      <c r="D744" s="59" t="s">
        <v>3362</v>
      </c>
      <c r="E744" s="57" t="s">
        <v>955</v>
      </c>
      <c r="F744" s="57">
        <v>292.8372</v>
      </c>
      <c r="G744" s="57">
        <v>6.2832999999999997</v>
      </c>
      <c r="H744" s="57">
        <v>236.8408</v>
      </c>
      <c r="I744" s="57">
        <v>234.84379999999999</v>
      </c>
      <c r="J744" s="57">
        <v>238.83789999999999</v>
      </c>
      <c r="K744" s="57">
        <v>199.04499999999999</v>
      </c>
      <c r="L744" s="75" t="s">
        <v>954</v>
      </c>
      <c r="M744" s="75" t="s">
        <v>954</v>
      </c>
    </row>
    <row r="745" spans="1:13" x14ac:dyDescent="0.2">
      <c r="A745" s="54">
        <v>744</v>
      </c>
      <c r="B745" s="57" t="s">
        <v>1</v>
      </c>
      <c r="C745" s="57" t="s">
        <v>2864</v>
      </c>
      <c r="D745" s="59" t="s">
        <v>1</v>
      </c>
      <c r="E745" s="57" t="s">
        <v>1</v>
      </c>
      <c r="F745" s="57" t="s">
        <v>1</v>
      </c>
      <c r="G745" s="57">
        <v>6.2840999999999996</v>
      </c>
      <c r="H745" s="57">
        <v>292.83710000000002</v>
      </c>
      <c r="I745" s="57">
        <v>236.84110000000001</v>
      </c>
      <c r="J745" s="57">
        <v>238.8382</v>
      </c>
      <c r="K745" s="57">
        <v>294.83409999999998</v>
      </c>
      <c r="L745" s="75">
        <v>0</v>
      </c>
      <c r="M745" s="75" t="s">
        <v>1</v>
      </c>
    </row>
    <row r="746" spans="1:13" x14ac:dyDescent="0.2">
      <c r="A746" s="54">
        <v>745</v>
      </c>
      <c r="B746" s="57">
        <v>603</v>
      </c>
      <c r="C746" s="57" t="s">
        <v>2518</v>
      </c>
      <c r="D746" s="59" t="s">
        <v>3153</v>
      </c>
      <c r="E746" s="57" t="s">
        <v>841</v>
      </c>
      <c r="F746" s="57">
        <v>401.05610000000001</v>
      </c>
      <c r="G746" s="57">
        <v>19.428599999999999</v>
      </c>
      <c r="H746" s="57">
        <v>401.05290000000002</v>
      </c>
      <c r="I746" s="57">
        <v>396.4529</v>
      </c>
      <c r="J746" s="57">
        <v>400.07069999999999</v>
      </c>
      <c r="K746" s="57">
        <v>398.07249999999999</v>
      </c>
      <c r="L746" s="75" t="s">
        <v>840</v>
      </c>
      <c r="M746" s="75" t="s">
        <v>840</v>
      </c>
    </row>
    <row r="747" spans="1:13" x14ac:dyDescent="0.2">
      <c r="A747" s="54">
        <v>746</v>
      </c>
      <c r="B747" s="57">
        <v>604</v>
      </c>
      <c r="C747" s="57" t="s">
        <v>2719</v>
      </c>
      <c r="D747" s="59" t="s">
        <v>2720</v>
      </c>
      <c r="E747" s="57" t="s">
        <v>559</v>
      </c>
      <c r="F747" s="57">
        <v>282.9803</v>
      </c>
      <c r="G747" s="57">
        <v>10.599399999999999</v>
      </c>
      <c r="H747" s="57">
        <v>282.9796</v>
      </c>
      <c r="I747" s="57">
        <v>252.98259999999999</v>
      </c>
      <c r="J747" s="57">
        <v>254.9796</v>
      </c>
      <c r="K747" s="57">
        <v>284.97770000000003</v>
      </c>
      <c r="L747" s="75" t="s">
        <v>557</v>
      </c>
      <c r="M747" s="75" t="s">
        <v>557</v>
      </c>
    </row>
    <row r="748" spans="1:13" x14ac:dyDescent="0.2">
      <c r="A748" s="54">
        <v>747</v>
      </c>
      <c r="B748" s="57">
        <v>605</v>
      </c>
      <c r="C748" s="57" t="s">
        <v>3074</v>
      </c>
      <c r="D748" s="59" t="s">
        <v>1284</v>
      </c>
      <c r="E748" s="57" t="s">
        <v>640</v>
      </c>
      <c r="F748" s="57">
        <v>422.12599999999998</v>
      </c>
      <c r="G748" s="57">
        <v>13.3819</v>
      </c>
      <c r="H748" s="57">
        <v>181.1011</v>
      </c>
      <c r="I748" s="57">
        <v>179.0855</v>
      </c>
      <c r="J748" s="57">
        <v>182.1045</v>
      </c>
      <c r="K748" s="57">
        <v>180.0932</v>
      </c>
      <c r="L748" s="75" t="s">
        <v>639</v>
      </c>
      <c r="M748" s="75" t="s">
        <v>639</v>
      </c>
    </row>
    <row r="749" spans="1:13" x14ac:dyDescent="0.2">
      <c r="A749" s="54">
        <v>748</v>
      </c>
      <c r="B749" s="57">
        <v>606</v>
      </c>
      <c r="C749" s="57" t="s">
        <v>2903</v>
      </c>
      <c r="D749" s="59" t="s">
        <v>1469</v>
      </c>
      <c r="E749" s="57" t="s">
        <v>444</v>
      </c>
      <c r="F749" s="57">
        <v>154.07830000000001</v>
      </c>
      <c r="G749" s="57">
        <v>4.8533999999999997</v>
      </c>
      <c r="H749" s="57">
        <v>154.0771</v>
      </c>
      <c r="I749" s="57">
        <v>153.06970000000001</v>
      </c>
      <c r="J749" s="57">
        <v>150.04660000000001</v>
      </c>
      <c r="K749" s="57">
        <v>151.05449999999999</v>
      </c>
      <c r="L749" s="75" t="s">
        <v>443</v>
      </c>
      <c r="M749" s="75" t="s">
        <v>443</v>
      </c>
    </row>
    <row r="750" spans="1:13" x14ac:dyDescent="0.2">
      <c r="A750" s="54">
        <v>749</v>
      </c>
      <c r="B750" s="57" t="s">
        <v>1</v>
      </c>
      <c r="C750" s="57" t="s">
        <v>2297</v>
      </c>
      <c r="D750" s="59" t="s">
        <v>1</v>
      </c>
      <c r="E750" s="57" t="s">
        <v>1</v>
      </c>
      <c r="F750" s="57" t="s">
        <v>1</v>
      </c>
      <c r="G750" s="57">
        <v>4.2950999999999997</v>
      </c>
      <c r="H750" s="57">
        <v>154.07769999999999</v>
      </c>
      <c r="I750" s="57">
        <v>153.06989999999999</v>
      </c>
      <c r="J750" s="57">
        <v>152.06180000000001</v>
      </c>
      <c r="K750" s="57">
        <v>155.08070000000001</v>
      </c>
      <c r="L750" s="75">
        <v>0</v>
      </c>
      <c r="M750" s="75" t="s">
        <v>1</v>
      </c>
    </row>
    <row r="751" spans="1:13" x14ac:dyDescent="0.2">
      <c r="A751" s="54">
        <v>750</v>
      </c>
      <c r="B751" s="57" t="s">
        <v>1</v>
      </c>
      <c r="C751" s="57" t="s">
        <v>2298</v>
      </c>
      <c r="D751" s="59" t="s">
        <v>1</v>
      </c>
      <c r="E751" s="57" t="s">
        <v>1</v>
      </c>
      <c r="F751" s="57" t="s">
        <v>1</v>
      </c>
      <c r="G751" s="57">
        <v>4.8570000000000002</v>
      </c>
      <c r="H751" s="57">
        <v>154.07769999999999</v>
      </c>
      <c r="I751" s="57">
        <v>153.06989999999999</v>
      </c>
      <c r="J751" s="57">
        <v>152.06180000000001</v>
      </c>
      <c r="K751" s="57">
        <v>155.08070000000001</v>
      </c>
      <c r="L751" s="75">
        <v>0</v>
      </c>
      <c r="M751" s="75" t="s">
        <v>1</v>
      </c>
    </row>
    <row r="752" spans="1:13" x14ac:dyDescent="0.2">
      <c r="A752" s="54">
        <v>751</v>
      </c>
      <c r="B752" s="57">
        <v>607</v>
      </c>
      <c r="C752" s="57" t="s">
        <v>2667</v>
      </c>
      <c r="D752" s="59" t="s">
        <v>2668</v>
      </c>
      <c r="E752" s="57" t="s">
        <v>416</v>
      </c>
      <c r="F752" s="57">
        <v>171.0087</v>
      </c>
      <c r="G752" s="57">
        <v>4.1410999999999998</v>
      </c>
      <c r="H752" s="57">
        <v>171.00810000000001</v>
      </c>
      <c r="I752" s="57">
        <v>89.038600000000002</v>
      </c>
      <c r="J752" s="57">
        <v>90.033900000000003</v>
      </c>
      <c r="K752" s="57">
        <v>154.00550000000001</v>
      </c>
      <c r="L752" s="75" t="s">
        <v>413</v>
      </c>
      <c r="M752" s="75" t="s">
        <v>413</v>
      </c>
    </row>
    <row r="753" spans="1:13" x14ac:dyDescent="0.2">
      <c r="A753" s="54">
        <v>752</v>
      </c>
      <c r="B753" s="57">
        <v>608</v>
      </c>
      <c r="C753" s="57" t="s">
        <v>2753</v>
      </c>
      <c r="D753" s="59" t="s">
        <v>2754</v>
      </c>
      <c r="E753" s="57" t="s">
        <v>2755</v>
      </c>
      <c r="F753" s="57">
        <v>394.14159999999998</v>
      </c>
      <c r="G753" s="57">
        <v>20.421399999999998</v>
      </c>
      <c r="H753" s="57">
        <v>394.14109999999999</v>
      </c>
      <c r="I753" s="57">
        <v>395.14460000000003</v>
      </c>
      <c r="J753" s="57">
        <v>396.1472</v>
      </c>
      <c r="K753" s="57">
        <v>379.11779999999999</v>
      </c>
      <c r="L753" s="75" t="s">
        <v>3460</v>
      </c>
      <c r="M753" s="75" t="s">
        <v>3460</v>
      </c>
    </row>
    <row r="754" spans="1:13" x14ac:dyDescent="0.2">
      <c r="A754" s="54">
        <v>753</v>
      </c>
      <c r="B754" s="57">
        <v>609</v>
      </c>
      <c r="C754" s="57" t="s">
        <v>2504</v>
      </c>
      <c r="D754" s="59" t="s">
        <v>2505</v>
      </c>
      <c r="E754" s="57" t="s">
        <v>843</v>
      </c>
      <c r="F754" s="57">
        <v>410.08960000000002</v>
      </c>
      <c r="G754" s="57">
        <v>9.7184000000000008</v>
      </c>
      <c r="H754" s="57">
        <v>149.09630000000001</v>
      </c>
      <c r="I754" s="57">
        <v>150.09970000000001</v>
      </c>
      <c r="J754" s="57">
        <v>95.085499999999996</v>
      </c>
      <c r="K754" s="57">
        <v>410.08690000000001</v>
      </c>
      <c r="L754" s="75" t="s">
        <v>842</v>
      </c>
      <c r="M754" s="75" t="s">
        <v>842</v>
      </c>
    </row>
    <row r="755" spans="1:13" x14ac:dyDescent="0.2">
      <c r="A755" s="54">
        <v>754</v>
      </c>
      <c r="B755" s="57">
        <v>610</v>
      </c>
      <c r="C755" s="57" t="s">
        <v>2888</v>
      </c>
      <c r="D755" s="59" t="s">
        <v>3216</v>
      </c>
      <c r="E755" s="57" t="s">
        <v>394</v>
      </c>
      <c r="F755" s="57">
        <v>226.14699999999999</v>
      </c>
      <c r="G755" s="57">
        <v>12.2798</v>
      </c>
      <c r="H755" s="57">
        <v>211.14830000000001</v>
      </c>
      <c r="I755" s="57">
        <v>155.0855</v>
      </c>
      <c r="J755" s="57">
        <v>93.07</v>
      </c>
      <c r="K755" s="57">
        <v>135.0805</v>
      </c>
      <c r="L755" s="75" t="s">
        <v>393</v>
      </c>
      <c r="M755" s="75" t="s">
        <v>393</v>
      </c>
    </row>
    <row r="756" spans="1:13" x14ac:dyDescent="0.2">
      <c r="A756" s="54">
        <v>755</v>
      </c>
      <c r="B756" s="57">
        <v>611</v>
      </c>
      <c r="C756" s="57" t="s">
        <v>3073</v>
      </c>
      <c r="D756" s="59" t="s">
        <v>1123</v>
      </c>
      <c r="E756" s="57" t="s">
        <v>379</v>
      </c>
      <c r="F756" s="57">
        <v>208.05240000000001</v>
      </c>
      <c r="G756" s="57">
        <v>8.1149000000000004</v>
      </c>
      <c r="H756" s="57">
        <v>208.0515</v>
      </c>
      <c r="I756" s="57">
        <v>152.06180000000001</v>
      </c>
      <c r="J756" s="57">
        <v>180.05680000000001</v>
      </c>
      <c r="K756" s="57">
        <v>209.0548</v>
      </c>
      <c r="L756" s="75" t="s">
        <v>3630</v>
      </c>
      <c r="M756" s="75" t="s">
        <v>3630</v>
      </c>
    </row>
    <row r="757" spans="1:13" x14ac:dyDescent="0.2">
      <c r="A757" s="54">
        <v>756</v>
      </c>
      <c r="B757" s="57">
        <v>612</v>
      </c>
      <c r="C757" s="57" t="s">
        <v>2232</v>
      </c>
      <c r="D757" s="59" t="s">
        <v>3284</v>
      </c>
      <c r="E757" s="57" t="s">
        <v>252</v>
      </c>
      <c r="F757" s="57">
        <v>222.08920000000001</v>
      </c>
      <c r="G757" s="57">
        <v>8.5030999999999999</v>
      </c>
      <c r="H757" s="57">
        <v>222.0872</v>
      </c>
      <c r="I757" s="57">
        <v>177.0659</v>
      </c>
      <c r="J757" s="57">
        <v>150.04640000000001</v>
      </c>
      <c r="K757" s="57">
        <v>176.09440000000001</v>
      </c>
      <c r="L757" s="75" t="s">
        <v>217</v>
      </c>
      <c r="M757" s="75" t="s">
        <v>217</v>
      </c>
    </row>
    <row r="758" spans="1:13" x14ac:dyDescent="0.2">
      <c r="A758" s="54">
        <v>757</v>
      </c>
      <c r="B758" s="57" t="s">
        <v>1</v>
      </c>
      <c r="C758" s="57" t="s">
        <v>2930</v>
      </c>
      <c r="D758" s="59" t="s">
        <v>1</v>
      </c>
      <c r="E758" s="57" t="s">
        <v>1</v>
      </c>
      <c r="F758" s="57" t="s">
        <v>1</v>
      </c>
      <c r="G758" s="57">
        <v>5.3132999999999999</v>
      </c>
      <c r="H758" s="57">
        <v>149.05959999999999</v>
      </c>
      <c r="I758" s="57">
        <v>177.05459999999999</v>
      </c>
      <c r="J758" s="57">
        <v>167.03370000000001</v>
      </c>
      <c r="K758" s="57">
        <v>222.08930000000001</v>
      </c>
      <c r="L758" s="75">
        <v>0</v>
      </c>
      <c r="M758" s="75" t="s">
        <v>1</v>
      </c>
    </row>
    <row r="759" spans="1:13" x14ac:dyDescent="0.2">
      <c r="A759" s="54">
        <v>758</v>
      </c>
      <c r="B759" s="57">
        <v>613</v>
      </c>
      <c r="C759" s="57" t="s">
        <v>2235</v>
      </c>
      <c r="D759" s="59" t="s">
        <v>1385</v>
      </c>
      <c r="E759" s="57" t="s">
        <v>262</v>
      </c>
      <c r="F759" s="57">
        <v>278.15179999999998</v>
      </c>
      <c r="G759" s="57">
        <v>4.8997000000000002</v>
      </c>
      <c r="H759" s="57">
        <v>205.15870000000001</v>
      </c>
      <c r="I759" s="57">
        <v>206.16210000000001</v>
      </c>
      <c r="J759" s="57">
        <v>149.08359999999999</v>
      </c>
      <c r="K759" s="57">
        <v>150.09950000000001</v>
      </c>
      <c r="L759" s="75" t="s">
        <v>230</v>
      </c>
      <c r="M759" s="75" t="s">
        <v>230</v>
      </c>
    </row>
    <row r="760" spans="1:13" x14ac:dyDescent="0.2">
      <c r="A760" s="54">
        <v>759</v>
      </c>
      <c r="B760" s="57" t="s">
        <v>1</v>
      </c>
      <c r="C760" s="57" t="s">
        <v>2928</v>
      </c>
      <c r="D760" s="59" t="s">
        <v>1</v>
      </c>
      <c r="E760" s="57" t="s">
        <v>1</v>
      </c>
      <c r="F760" s="57" t="s">
        <v>1</v>
      </c>
      <c r="G760" s="57">
        <v>19.360099999999999</v>
      </c>
      <c r="H760" s="57">
        <v>205.1224</v>
      </c>
      <c r="I760" s="57">
        <v>149.04490000000001</v>
      </c>
      <c r="J760" s="57">
        <v>206.1258</v>
      </c>
      <c r="K760" s="57">
        <v>150.10390000000001</v>
      </c>
      <c r="L760" s="75">
        <v>0</v>
      </c>
      <c r="M760" s="75" t="s">
        <v>1</v>
      </c>
    </row>
    <row r="761" spans="1:13" x14ac:dyDescent="0.2">
      <c r="A761" s="54">
        <v>760</v>
      </c>
      <c r="B761" s="57">
        <v>614</v>
      </c>
      <c r="C761" s="57" t="s">
        <v>2132</v>
      </c>
      <c r="D761" s="59" t="s">
        <v>2133</v>
      </c>
      <c r="E761" s="57" t="s">
        <v>2134</v>
      </c>
      <c r="F761" s="57">
        <v>331.00139999999999</v>
      </c>
      <c r="G761" s="57">
        <v>8.7897999999999996</v>
      </c>
      <c r="H761" s="57">
        <v>331.0009</v>
      </c>
      <c r="I761" s="57">
        <v>258.98</v>
      </c>
      <c r="J761" s="57">
        <v>185.98689999999999</v>
      </c>
      <c r="K761" s="57">
        <v>189.95830000000001</v>
      </c>
      <c r="L761" s="75" t="s">
        <v>3418</v>
      </c>
      <c r="M761" s="75" t="s">
        <v>3418</v>
      </c>
    </row>
    <row r="762" spans="1:13" x14ac:dyDescent="0.2">
      <c r="A762" s="54">
        <v>761</v>
      </c>
      <c r="B762" s="57">
        <v>615</v>
      </c>
      <c r="C762" s="57" t="s">
        <v>2315</v>
      </c>
      <c r="D762" s="59" t="s">
        <v>1092</v>
      </c>
      <c r="E762" s="57" t="s">
        <v>439</v>
      </c>
      <c r="F762" s="57">
        <v>178.07830000000001</v>
      </c>
      <c r="G762" s="57">
        <v>6.5831999999999997</v>
      </c>
      <c r="H762" s="57">
        <v>178.0778</v>
      </c>
      <c r="I762" s="57">
        <v>177.06989999999999</v>
      </c>
      <c r="J762" s="57">
        <v>176.06209999999999</v>
      </c>
      <c r="K762" s="57">
        <v>88.030799999999999</v>
      </c>
      <c r="L762" s="75" t="s">
        <v>438</v>
      </c>
      <c r="M762" s="75" t="s">
        <v>438</v>
      </c>
    </row>
    <row r="763" spans="1:13" x14ac:dyDescent="0.2">
      <c r="A763" s="54">
        <v>762</v>
      </c>
      <c r="B763" s="57" t="s">
        <v>1</v>
      </c>
      <c r="C763" s="57" t="s">
        <v>2960</v>
      </c>
      <c r="D763" s="59" t="s">
        <v>1</v>
      </c>
      <c r="E763" s="57" t="s">
        <v>1</v>
      </c>
      <c r="F763" s="57" t="s">
        <v>1</v>
      </c>
      <c r="G763" s="57">
        <v>6.6390000000000002</v>
      </c>
      <c r="H763" s="57">
        <v>178.07740000000001</v>
      </c>
      <c r="I763" s="57">
        <v>176.06190000000001</v>
      </c>
      <c r="J763" s="57">
        <v>179.08070000000001</v>
      </c>
      <c r="K763" s="57">
        <v>177.054</v>
      </c>
      <c r="L763" s="75">
        <v>0</v>
      </c>
      <c r="M763" s="75" t="s">
        <v>1</v>
      </c>
    </row>
    <row r="764" spans="1:13" x14ac:dyDescent="0.2">
      <c r="A764" s="54">
        <v>763</v>
      </c>
      <c r="B764" s="57">
        <v>616</v>
      </c>
      <c r="C764" s="57" t="s">
        <v>1990</v>
      </c>
      <c r="D764" s="59" t="s">
        <v>3285</v>
      </c>
      <c r="E764" s="57" t="s">
        <v>568</v>
      </c>
      <c r="F764" s="57">
        <v>151.0633</v>
      </c>
      <c r="G764" s="57">
        <v>4.8861999999999997</v>
      </c>
      <c r="H764" s="57">
        <v>151.06299999999999</v>
      </c>
      <c r="I764" s="57">
        <v>152.06209999999999</v>
      </c>
      <c r="J764" s="57">
        <v>150.04640000000001</v>
      </c>
      <c r="K764" s="57">
        <v>153.06989999999999</v>
      </c>
      <c r="L764" s="75" t="s">
        <v>567</v>
      </c>
      <c r="M764" s="75" t="s">
        <v>567</v>
      </c>
    </row>
    <row r="765" spans="1:13" x14ac:dyDescent="0.2">
      <c r="A765" s="54">
        <v>764</v>
      </c>
      <c r="B765" s="57">
        <v>617</v>
      </c>
      <c r="C765" s="57" t="s">
        <v>2912</v>
      </c>
      <c r="D765" s="59" t="s">
        <v>3286</v>
      </c>
      <c r="E765" s="57" t="s">
        <v>244</v>
      </c>
      <c r="F765" s="57">
        <v>312.13619999999997</v>
      </c>
      <c r="G765" s="57">
        <v>11.9183</v>
      </c>
      <c r="H765" s="57">
        <v>91.054299999999998</v>
      </c>
      <c r="I765" s="57">
        <v>205.08590000000001</v>
      </c>
      <c r="J765" s="57">
        <v>206.09379999999999</v>
      </c>
      <c r="K765" s="57">
        <v>312.13650000000001</v>
      </c>
      <c r="L765" s="75" t="s">
        <v>243</v>
      </c>
      <c r="M765" s="75" t="s">
        <v>243</v>
      </c>
    </row>
    <row r="766" spans="1:13" x14ac:dyDescent="0.2">
      <c r="A766" s="54">
        <v>765</v>
      </c>
      <c r="B766" s="57" t="s">
        <v>1</v>
      </c>
      <c r="C766" s="57" t="s">
        <v>2223</v>
      </c>
      <c r="D766" s="59" t="s">
        <v>1</v>
      </c>
      <c r="E766" s="57" t="s">
        <v>1</v>
      </c>
      <c r="F766" s="57" t="s">
        <v>1</v>
      </c>
      <c r="G766" s="57">
        <v>19.239899999999999</v>
      </c>
      <c r="H766" s="57">
        <v>205.1224</v>
      </c>
      <c r="I766" s="57">
        <v>206.1258</v>
      </c>
      <c r="J766" s="57">
        <v>150.10400000000001</v>
      </c>
      <c r="K766" s="57">
        <v>312.13900000000001</v>
      </c>
      <c r="L766" s="75">
        <v>0</v>
      </c>
      <c r="M766" s="75" t="s">
        <v>1</v>
      </c>
    </row>
    <row r="767" spans="1:13" x14ac:dyDescent="0.2">
      <c r="A767" s="54">
        <v>766</v>
      </c>
      <c r="B767" s="57">
        <v>618</v>
      </c>
      <c r="C767" s="57" t="s">
        <v>2076</v>
      </c>
      <c r="D767" s="59" t="s">
        <v>2077</v>
      </c>
      <c r="E767" s="57" t="s">
        <v>2078</v>
      </c>
      <c r="F767" s="57">
        <v>315.1003</v>
      </c>
      <c r="G767" s="57">
        <v>10.262600000000001</v>
      </c>
      <c r="H767" s="57">
        <v>315.1003</v>
      </c>
      <c r="I767" s="57">
        <v>233.05930000000001</v>
      </c>
      <c r="J767" s="57">
        <v>251.07</v>
      </c>
      <c r="K767" s="57">
        <v>206.05430000000001</v>
      </c>
      <c r="L767" s="75" t="s">
        <v>3454</v>
      </c>
      <c r="M767" s="75" t="s">
        <v>3454</v>
      </c>
    </row>
    <row r="768" spans="1:13" x14ac:dyDescent="0.2">
      <c r="A768" s="54">
        <v>767</v>
      </c>
      <c r="B768" s="57">
        <v>619</v>
      </c>
      <c r="C768" s="57" t="s">
        <v>2242</v>
      </c>
      <c r="D768" s="59" t="s">
        <v>2243</v>
      </c>
      <c r="E768" s="57" t="s">
        <v>235</v>
      </c>
      <c r="F768" s="57">
        <v>198.07900000000001</v>
      </c>
      <c r="G768" s="57">
        <v>8.7505000000000006</v>
      </c>
      <c r="H768" s="57">
        <v>168.05709999999999</v>
      </c>
      <c r="I768" s="57">
        <v>169.06049999999999</v>
      </c>
      <c r="J768" s="57">
        <v>157.0761</v>
      </c>
      <c r="K768" s="57">
        <v>167.04920000000001</v>
      </c>
      <c r="L768" s="75" t="s">
        <v>234</v>
      </c>
      <c r="M768" s="75" t="s">
        <v>234</v>
      </c>
    </row>
    <row r="769" spans="1:13" x14ac:dyDescent="0.2">
      <c r="A769" s="54">
        <v>768</v>
      </c>
      <c r="B769" s="57">
        <v>620</v>
      </c>
      <c r="C769" s="57" t="s">
        <v>1848</v>
      </c>
      <c r="D769" s="59" t="s">
        <v>1849</v>
      </c>
      <c r="E769" s="57" t="s">
        <v>1850</v>
      </c>
      <c r="F769" s="57">
        <v>317.00580000000002</v>
      </c>
      <c r="G769" s="57">
        <v>10.2918</v>
      </c>
      <c r="H769" s="57">
        <v>317.00540000000001</v>
      </c>
      <c r="I769" s="57">
        <v>105.0697</v>
      </c>
      <c r="J769" s="57">
        <v>318.0136</v>
      </c>
      <c r="K769" s="57">
        <v>319.0027</v>
      </c>
      <c r="L769" s="75" t="s">
        <v>3393</v>
      </c>
      <c r="M769" s="75" t="s">
        <v>3393</v>
      </c>
    </row>
    <row r="770" spans="1:13" x14ac:dyDescent="0.2">
      <c r="A770" s="54">
        <v>769</v>
      </c>
      <c r="B770" s="57">
        <v>621</v>
      </c>
      <c r="C770" s="57" t="s">
        <v>2311</v>
      </c>
      <c r="D770" s="59" t="s">
        <v>2312</v>
      </c>
      <c r="E770" s="57" t="s">
        <v>442</v>
      </c>
      <c r="F770" s="57">
        <v>166.07830000000001</v>
      </c>
      <c r="G770" s="57">
        <v>5.7058999999999997</v>
      </c>
      <c r="H770" s="57">
        <v>166.07769999999999</v>
      </c>
      <c r="I770" s="57">
        <v>165.06989999999999</v>
      </c>
      <c r="J770" s="57">
        <v>167.08539999999999</v>
      </c>
      <c r="K770" s="57">
        <v>152.06209999999999</v>
      </c>
      <c r="L770" s="75" t="s">
        <v>441</v>
      </c>
      <c r="M770" s="75" t="s">
        <v>441</v>
      </c>
    </row>
    <row r="771" spans="1:13" x14ac:dyDescent="0.2">
      <c r="A771" s="54">
        <v>770</v>
      </c>
      <c r="B771" s="57" t="s">
        <v>1</v>
      </c>
      <c r="C771" s="57" t="s">
        <v>2939</v>
      </c>
      <c r="D771" s="59" t="s">
        <v>1</v>
      </c>
      <c r="E771" s="57" t="s">
        <v>1</v>
      </c>
      <c r="F771" s="57" t="s">
        <v>1</v>
      </c>
      <c r="G771" s="57">
        <v>5.3616000000000001</v>
      </c>
      <c r="H771" s="57">
        <v>165.06989999999999</v>
      </c>
      <c r="I771" s="57">
        <v>166.07749999999999</v>
      </c>
      <c r="J771" s="57">
        <v>163.05430000000001</v>
      </c>
      <c r="K771" s="57">
        <v>164.06200000000001</v>
      </c>
      <c r="L771" s="75">
        <v>0</v>
      </c>
      <c r="M771" s="75" t="s">
        <v>1</v>
      </c>
    </row>
    <row r="772" spans="1:13" x14ac:dyDescent="0.2">
      <c r="A772" s="54">
        <v>771</v>
      </c>
      <c r="B772" s="57">
        <v>622</v>
      </c>
      <c r="C772" s="57" t="s">
        <v>2318</v>
      </c>
      <c r="D772" s="59" t="s">
        <v>1128</v>
      </c>
      <c r="E772" s="57" t="s">
        <v>374</v>
      </c>
      <c r="F772" s="57">
        <v>167.0735</v>
      </c>
      <c r="G772" s="57">
        <v>5.5385999999999997</v>
      </c>
      <c r="H772" s="57">
        <v>167.0727</v>
      </c>
      <c r="I772" s="57">
        <v>166.0651</v>
      </c>
      <c r="J772" s="57">
        <v>165.0573</v>
      </c>
      <c r="K772" s="57">
        <v>168.07599999999999</v>
      </c>
      <c r="L772" s="75" t="s">
        <v>373</v>
      </c>
      <c r="M772" s="75" t="s">
        <v>373</v>
      </c>
    </row>
    <row r="773" spans="1:13" x14ac:dyDescent="0.2">
      <c r="A773" s="54">
        <v>772</v>
      </c>
      <c r="B773" s="57" t="s">
        <v>1</v>
      </c>
      <c r="C773" s="57" t="s">
        <v>2317</v>
      </c>
      <c r="D773" s="59" t="s">
        <v>1</v>
      </c>
      <c r="E773" s="57" t="s">
        <v>1</v>
      </c>
      <c r="F773" s="57" t="s">
        <v>1</v>
      </c>
      <c r="G773" s="57">
        <v>7.0217999999999998</v>
      </c>
      <c r="H773" s="57">
        <v>167.0727</v>
      </c>
      <c r="I773" s="57">
        <v>166.0651</v>
      </c>
      <c r="J773" s="57">
        <v>169.08850000000001</v>
      </c>
      <c r="K773" s="57">
        <v>168.07599999999999</v>
      </c>
      <c r="L773" s="75">
        <v>0</v>
      </c>
      <c r="M773" s="75" t="s">
        <v>1</v>
      </c>
    </row>
    <row r="774" spans="1:13" x14ac:dyDescent="0.2">
      <c r="A774" s="54">
        <v>773</v>
      </c>
      <c r="B774" s="57" t="s">
        <v>1</v>
      </c>
      <c r="C774" s="57" t="s">
        <v>2919</v>
      </c>
      <c r="D774" s="59" t="s">
        <v>1</v>
      </c>
      <c r="E774" s="57" t="s">
        <v>1</v>
      </c>
      <c r="F774" s="57" t="s">
        <v>1</v>
      </c>
      <c r="G774" s="57">
        <v>7.0103999999999997</v>
      </c>
      <c r="H774" s="57">
        <v>167.0728</v>
      </c>
      <c r="I774" s="57">
        <v>166.0651</v>
      </c>
      <c r="J774" s="57">
        <v>139.05420000000001</v>
      </c>
      <c r="K774" s="57">
        <v>168.0761</v>
      </c>
      <c r="L774" s="75">
        <v>0</v>
      </c>
      <c r="M774" s="75" t="s">
        <v>1</v>
      </c>
    </row>
    <row r="775" spans="1:13" x14ac:dyDescent="0.2">
      <c r="A775" s="54">
        <v>774</v>
      </c>
      <c r="B775" s="57">
        <v>623</v>
      </c>
      <c r="C775" s="57" t="s">
        <v>2511</v>
      </c>
      <c r="D775" s="59" t="s">
        <v>3166</v>
      </c>
      <c r="E775" s="57" t="s">
        <v>847</v>
      </c>
      <c r="F775" s="57">
        <v>468.03629999999998</v>
      </c>
      <c r="G775" s="57">
        <v>22.372199999999999</v>
      </c>
      <c r="H775" s="57">
        <v>468.03800000000001</v>
      </c>
      <c r="I775" s="57">
        <v>111.9901</v>
      </c>
      <c r="J775" s="57">
        <v>117.0548</v>
      </c>
      <c r="K775" s="57">
        <v>440.30799999999999</v>
      </c>
      <c r="L775" s="75" t="s">
        <v>846</v>
      </c>
      <c r="M775" s="75" t="s">
        <v>846</v>
      </c>
    </row>
    <row r="776" spans="1:13" x14ac:dyDescent="0.2">
      <c r="A776" s="54">
        <v>775</v>
      </c>
      <c r="B776" s="57">
        <v>624</v>
      </c>
      <c r="C776" s="57" t="s">
        <v>2042</v>
      </c>
      <c r="D776" s="59" t="s">
        <v>1261</v>
      </c>
      <c r="E776" s="57" t="s">
        <v>899</v>
      </c>
      <c r="F776" s="57">
        <v>283.13389999999998</v>
      </c>
      <c r="G776" s="57">
        <v>7.3639999999999999</v>
      </c>
      <c r="H776" s="57">
        <v>162.09129999999999</v>
      </c>
      <c r="I776" s="57">
        <v>163.09469999999999</v>
      </c>
      <c r="J776" s="57">
        <v>164.107</v>
      </c>
      <c r="K776" s="57">
        <v>160.07570000000001</v>
      </c>
      <c r="L776" s="75" t="s">
        <v>892</v>
      </c>
      <c r="M776" s="75" t="s">
        <v>892</v>
      </c>
    </row>
    <row r="777" spans="1:13" x14ac:dyDescent="0.2">
      <c r="A777" s="54">
        <v>776</v>
      </c>
      <c r="B777" s="57">
        <v>625</v>
      </c>
      <c r="C777" s="57" t="s">
        <v>2901</v>
      </c>
      <c r="D777" s="59" t="s">
        <v>2902</v>
      </c>
      <c r="E777" s="57" t="s">
        <v>419</v>
      </c>
      <c r="F777" s="57">
        <v>141.03450000000001</v>
      </c>
      <c r="G777" s="57">
        <v>5.1965000000000003</v>
      </c>
      <c r="H777" s="57">
        <v>141.0343</v>
      </c>
      <c r="I777" s="57">
        <v>106.03700000000001</v>
      </c>
      <c r="J777" s="57">
        <v>140.02619999999999</v>
      </c>
      <c r="K777" s="57">
        <v>105.0294</v>
      </c>
      <c r="L777" s="75" t="s">
        <v>418</v>
      </c>
      <c r="M777" s="75" t="s">
        <v>418</v>
      </c>
    </row>
    <row r="778" spans="1:13" x14ac:dyDescent="0.2">
      <c r="A778" s="54">
        <v>777</v>
      </c>
      <c r="B778" s="57">
        <v>626</v>
      </c>
      <c r="C778" s="57" t="s">
        <v>2631</v>
      </c>
      <c r="D778" s="59" t="s">
        <v>2632</v>
      </c>
      <c r="E778" s="57" t="s">
        <v>2633</v>
      </c>
      <c r="F778" s="57">
        <v>179.93</v>
      </c>
      <c r="G778" s="57">
        <v>3.3022</v>
      </c>
      <c r="H778" s="57">
        <v>179.92920000000001</v>
      </c>
      <c r="I778" s="57">
        <v>181.92619999999999</v>
      </c>
      <c r="J778" s="57">
        <v>183.92330000000001</v>
      </c>
      <c r="K778" s="57">
        <v>172.9666</v>
      </c>
      <c r="L778" s="75" t="s">
        <v>3442</v>
      </c>
      <c r="M778" s="75" t="s">
        <v>3442</v>
      </c>
    </row>
    <row r="779" spans="1:13" x14ac:dyDescent="0.2">
      <c r="A779" s="54">
        <v>778</v>
      </c>
      <c r="B779" s="57">
        <v>627</v>
      </c>
      <c r="C779" s="57" t="s">
        <v>2821</v>
      </c>
      <c r="D779" s="59" t="s">
        <v>2822</v>
      </c>
      <c r="E779" s="57" t="s">
        <v>2823</v>
      </c>
      <c r="F779" s="57">
        <v>161.9639</v>
      </c>
      <c r="G779" s="57">
        <v>11.083500000000001</v>
      </c>
      <c r="H779" s="57">
        <v>161.9633</v>
      </c>
      <c r="I779" s="57">
        <v>163.96029999999999</v>
      </c>
      <c r="J779" s="57">
        <v>97.991900000000001</v>
      </c>
      <c r="K779" s="57">
        <v>165.95750000000001</v>
      </c>
      <c r="L779" s="75" t="s">
        <v>503</v>
      </c>
      <c r="M779" s="75" t="s">
        <v>503</v>
      </c>
    </row>
    <row r="780" spans="1:13" x14ac:dyDescent="0.2">
      <c r="A780" s="54">
        <v>779</v>
      </c>
      <c r="B780" s="57">
        <v>628</v>
      </c>
      <c r="C780" s="57" t="s">
        <v>2941</v>
      </c>
      <c r="D780" s="59" t="s">
        <v>2260</v>
      </c>
      <c r="E780" s="57" t="s">
        <v>2261</v>
      </c>
      <c r="F780" s="57">
        <v>257.81310000000002</v>
      </c>
      <c r="G780" s="57">
        <v>3.2925</v>
      </c>
      <c r="H780" s="57">
        <v>257.81270000000001</v>
      </c>
      <c r="I780" s="57">
        <v>224.8407</v>
      </c>
      <c r="J780" s="57">
        <v>226.83770000000001</v>
      </c>
      <c r="K780" s="57">
        <v>222.84360000000001</v>
      </c>
      <c r="L780" s="75" t="s">
        <v>3443</v>
      </c>
      <c r="M780" s="75" t="s">
        <v>3443</v>
      </c>
    </row>
    <row r="781" spans="1:13" x14ac:dyDescent="0.2">
      <c r="A781" s="54">
        <v>780</v>
      </c>
      <c r="B781" s="57" t="s">
        <v>1</v>
      </c>
      <c r="C781" s="57" t="s">
        <v>2259</v>
      </c>
      <c r="D781" s="59" t="s">
        <v>1</v>
      </c>
      <c r="E781" s="57" t="s">
        <v>1</v>
      </c>
      <c r="F781" s="57" t="s">
        <v>1</v>
      </c>
      <c r="G781" s="57">
        <v>3.2865000000000002</v>
      </c>
      <c r="H781" s="57">
        <v>257.81270000000001</v>
      </c>
      <c r="I781" s="57">
        <v>224.8409</v>
      </c>
      <c r="J781" s="57">
        <v>226.83799999999999</v>
      </c>
      <c r="K781" s="57">
        <v>222.84379999999999</v>
      </c>
      <c r="L781" s="75">
        <v>0</v>
      </c>
      <c r="M781" s="75" t="s">
        <v>1</v>
      </c>
    </row>
    <row r="782" spans="1:13" x14ac:dyDescent="0.2">
      <c r="A782" s="54">
        <v>781</v>
      </c>
      <c r="B782" s="57">
        <v>629</v>
      </c>
      <c r="C782" s="57" t="s">
        <v>1590</v>
      </c>
      <c r="D782" s="59" t="s">
        <v>2330</v>
      </c>
      <c r="E782" s="57" t="s">
        <v>150</v>
      </c>
      <c r="F782" s="57">
        <v>263.84699999999998</v>
      </c>
      <c r="G782" s="57">
        <v>6.3451000000000004</v>
      </c>
      <c r="H782" s="57">
        <v>265.84410000000003</v>
      </c>
      <c r="I782" s="57">
        <v>267.84120000000001</v>
      </c>
      <c r="J782" s="57">
        <v>263.84710000000001</v>
      </c>
      <c r="K782" s="57">
        <v>164.9059</v>
      </c>
      <c r="L782" s="75" t="s">
        <v>3631</v>
      </c>
      <c r="M782" s="75" t="s">
        <v>3631</v>
      </c>
    </row>
    <row r="783" spans="1:13" x14ac:dyDescent="0.2">
      <c r="A783" s="54">
        <v>782</v>
      </c>
      <c r="B783" s="57" t="s">
        <v>1</v>
      </c>
      <c r="C783" s="57" t="s">
        <v>2329</v>
      </c>
      <c r="D783" s="59" t="s">
        <v>1</v>
      </c>
      <c r="E783" s="57" t="s">
        <v>1</v>
      </c>
      <c r="F783" s="57" t="s">
        <v>1</v>
      </c>
      <c r="G783" s="57">
        <v>6.3437999999999999</v>
      </c>
      <c r="H783" s="57">
        <v>263.84660000000002</v>
      </c>
      <c r="I783" s="57">
        <v>265.84410000000003</v>
      </c>
      <c r="J783" s="57">
        <v>267.84120000000001</v>
      </c>
      <c r="K783" s="57">
        <v>164.9059</v>
      </c>
      <c r="L783" s="75">
        <v>0</v>
      </c>
      <c r="M783" s="75" t="s">
        <v>1</v>
      </c>
    </row>
    <row r="784" spans="1:13" x14ac:dyDescent="0.2">
      <c r="A784" s="54">
        <v>783</v>
      </c>
      <c r="B784" s="57" t="s">
        <v>1</v>
      </c>
      <c r="C784" s="57" t="s">
        <v>2986</v>
      </c>
      <c r="D784" s="59" t="s">
        <v>1</v>
      </c>
      <c r="E784" s="57" t="s">
        <v>1</v>
      </c>
      <c r="F784" s="57" t="s">
        <v>1</v>
      </c>
      <c r="G784" s="57">
        <v>6.3171999999999997</v>
      </c>
      <c r="H784" s="57">
        <v>263.84660000000002</v>
      </c>
      <c r="I784" s="57">
        <v>265.84440000000001</v>
      </c>
      <c r="J784" s="57">
        <v>267.84030000000001</v>
      </c>
      <c r="K784" s="57">
        <v>269.83780000000002</v>
      </c>
      <c r="L784" s="75">
        <v>0</v>
      </c>
      <c r="M784" s="75" t="s">
        <v>1</v>
      </c>
    </row>
    <row r="785" spans="1:13" x14ac:dyDescent="0.2">
      <c r="A785" s="54">
        <v>784</v>
      </c>
      <c r="B785" s="57">
        <v>630</v>
      </c>
      <c r="C785" s="57" t="s">
        <v>2688</v>
      </c>
      <c r="D785" s="59" t="s">
        <v>2689</v>
      </c>
      <c r="E785" s="57" t="s">
        <v>2690</v>
      </c>
      <c r="F785" s="57">
        <v>258.87610000000001</v>
      </c>
      <c r="G785" s="57">
        <v>5.6992000000000003</v>
      </c>
      <c r="H785" s="57">
        <v>258.87569999999999</v>
      </c>
      <c r="I785" s="57">
        <v>202.8794</v>
      </c>
      <c r="J785" s="57">
        <v>200.88239999999999</v>
      </c>
      <c r="K785" s="57">
        <v>260.87270000000001</v>
      </c>
      <c r="L785" s="75" t="s">
        <v>3433</v>
      </c>
      <c r="M785" s="75" t="s">
        <v>3433</v>
      </c>
    </row>
    <row r="786" spans="1:13" x14ac:dyDescent="0.2">
      <c r="A786" s="54">
        <v>785</v>
      </c>
      <c r="B786" s="57">
        <v>631</v>
      </c>
      <c r="C786" s="57" t="s">
        <v>2525</v>
      </c>
      <c r="D786" s="59" t="s">
        <v>3363</v>
      </c>
      <c r="E786" s="57" t="s">
        <v>146</v>
      </c>
      <c r="F786" s="57">
        <v>195.92490000000001</v>
      </c>
      <c r="G786" s="57">
        <v>12.309799999999999</v>
      </c>
      <c r="H786" s="57">
        <v>195.9246</v>
      </c>
      <c r="I786" s="57">
        <v>197.92150000000001</v>
      </c>
      <c r="J786" s="57">
        <v>96.983999999999995</v>
      </c>
      <c r="K786" s="57">
        <v>131.953</v>
      </c>
      <c r="L786" s="75" t="s">
        <v>3432</v>
      </c>
      <c r="M786" s="75" t="s">
        <v>3432</v>
      </c>
    </row>
    <row r="787" spans="1:13" x14ac:dyDescent="0.2">
      <c r="A787" s="54">
        <v>786</v>
      </c>
      <c r="B787" s="57" t="s">
        <v>1</v>
      </c>
      <c r="C787" s="57" t="s">
        <v>2965</v>
      </c>
      <c r="D787" s="59" t="s">
        <v>1</v>
      </c>
      <c r="E787" s="57" t="s">
        <v>1</v>
      </c>
      <c r="F787" s="57" t="s">
        <v>1</v>
      </c>
      <c r="G787" s="57">
        <v>4.2028999999999996</v>
      </c>
      <c r="H787" s="57">
        <v>195.92439999999999</v>
      </c>
      <c r="I787" s="57">
        <v>197.92140000000001</v>
      </c>
      <c r="J787" s="57">
        <v>96.983900000000006</v>
      </c>
      <c r="K787" s="57">
        <v>199.91839999999999</v>
      </c>
      <c r="L787" s="75">
        <v>0</v>
      </c>
      <c r="M787" s="75" t="s">
        <v>1</v>
      </c>
    </row>
    <row r="788" spans="1:13" x14ac:dyDescent="0.2">
      <c r="A788" s="54">
        <v>787</v>
      </c>
      <c r="B788" s="57">
        <v>632</v>
      </c>
      <c r="C788" s="57" t="s">
        <v>2665</v>
      </c>
      <c r="D788" s="59" t="s">
        <v>3364</v>
      </c>
      <c r="E788" s="57" t="s">
        <v>389</v>
      </c>
      <c r="F788" s="57">
        <v>156.9931</v>
      </c>
      <c r="G788" s="57">
        <v>3.8227000000000002</v>
      </c>
      <c r="H788" s="57">
        <v>98.999600000000001</v>
      </c>
      <c r="I788" s="57">
        <v>126.99469999999999</v>
      </c>
      <c r="J788" s="57">
        <v>110.9997</v>
      </c>
      <c r="K788" s="57">
        <v>156.99279999999999</v>
      </c>
      <c r="L788" s="75" t="s">
        <v>388</v>
      </c>
      <c r="M788" s="75" t="s">
        <v>388</v>
      </c>
    </row>
    <row r="789" spans="1:13" x14ac:dyDescent="0.2">
      <c r="A789" s="54">
        <v>788</v>
      </c>
      <c r="B789" s="57">
        <v>633</v>
      </c>
      <c r="C789" s="57" t="s">
        <v>2953</v>
      </c>
      <c r="D789" s="59" t="s">
        <v>1109</v>
      </c>
      <c r="E789" s="57" t="s">
        <v>417</v>
      </c>
      <c r="F789" s="57">
        <v>138.0429</v>
      </c>
      <c r="G789" s="57">
        <v>5.4907000000000004</v>
      </c>
      <c r="H789" s="57">
        <v>138.04239999999999</v>
      </c>
      <c r="I789" s="57">
        <v>108.0444</v>
      </c>
      <c r="J789" s="57">
        <v>92.049499999999995</v>
      </c>
      <c r="K789" s="57">
        <v>139.04580000000001</v>
      </c>
      <c r="L789" s="75" t="s">
        <v>410</v>
      </c>
      <c r="M789" s="75" t="s">
        <v>410</v>
      </c>
    </row>
    <row r="790" spans="1:13" x14ac:dyDescent="0.2">
      <c r="A790" s="54">
        <v>789</v>
      </c>
      <c r="B790" s="57" t="s">
        <v>1</v>
      </c>
      <c r="C790" s="57" t="s">
        <v>2288</v>
      </c>
      <c r="D790" s="59" t="s">
        <v>1</v>
      </c>
      <c r="E790" s="57" t="s">
        <v>1</v>
      </c>
      <c r="F790" s="57" t="s">
        <v>1</v>
      </c>
      <c r="G790" s="57">
        <v>12.181800000000001</v>
      </c>
      <c r="H790" s="57">
        <v>138.04239999999999</v>
      </c>
      <c r="I790" s="57">
        <v>108.0444</v>
      </c>
      <c r="J790" s="57">
        <v>92.025700000000001</v>
      </c>
      <c r="K790" s="57">
        <v>139.04990000000001</v>
      </c>
      <c r="L790" s="75">
        <v>0</v>
      </c>
      <c r="M790" s="75" t="s">
        <v>1</v>
      </c>
    </row>
    <row r="791" spans="1:13" x14ac:dyDescent="0.2">
      <c r="A791" s="54">
        <v>790</v>
      </c>
      <c r="B791" s="57">
        <v>634</v>
      </c>
      <c r="C791" s="57" t="s">
        <v>2327</v>
      </c>
      <c r="D791" s="59" t="s">
        <v>1028</v>
      </c>
      <c r="E791" s="57" t="s">
        <v>516</v>
      </c>
      <c r="F791" s="57">
        <v>139.02690000000001</v>
      </c>
      <c r="G791" s="57">
        <v>5.4474999999999998</v>
      </c>
      <c r="H791" s="57">
        <v>139.0265</v>
      </c>
      <c r="I791" s="57">
        <v>109.0284</v>
      </c>
      <c r="J791" s="57">
        <v>110.0318</v>
      </c>
      <c r="K791" s="57">
        <v>105.0699</v>
      </c>
      <c r="L791" s="75" t="s">
        <v>515</v>
      </c>
      <c r="M791" s="75" t="s">
        <v>515</v>
      </c>
    </row>
    <row r="792" spans="1:13" x14ac:dyDescent="0.2">
      <c r="A792" s="54">
        <v>791</v>
      </c>
      <c r="B792" s="57" t="s">
        <v>1</v>
      </c>
      <c r="C792" s="57" t="s">
        <v>2957</v>
      </c>
      <c r="D792" s="59" t="s">
        <v>1</v>
      </c>
      <c r="E792" s="57" t="s">
        <v>1</v>
      </c>
      <c r="F792" s="57" t="s">
        <v>1</v>
      </c>
      <c r="G792" s="57">
        <v>5.0262000000000002</v>
      </c>
      <c r="H792" s="57">
        <v>139.0264</v>
      </c>
      <c r="I792" s="57">
        <v>109.0283</v>
      </c>
      <c r="J792" s="57">
        <v>140.02979999999999</v>
      </c>
      <c r="K792" s="57">
        <v>110.0364</v>
      </c>
      <c r="L792" s="75">
        <v>0</v>
      </c>
      <c r="M792" s="75" t="s">
        <v>1</v>
      </c>
    </row>
    <row r="793" spans="1:13" x14ac:dyDescent="0.2">
      <c r="A793" s="54">
        <v>792</v>
      </c>
      <c r="B793" s="57">
        <v>635</v>
      </c>
      <c r="C793" s="57" t="s">
        <v>2377</v>
      </c>
      <c r="D793" s="59" t="s">
        <v>2378</v>
      </c>
      <c r="E793" s="57" t="s">
        <v>879</v>
      </c>
      <c r="F793" s="57">
        <v>240.0746</v>
      </c>
      <c r="G793" s="57">
        <v>5.6138000000000003</v>
      </c>
      <c r="H793" s="57">
        <v>240.0746</v>
      </c>
      <c r="I793" s="57">
        <v>211.06030000000001</v>
      </c>
      <c r="J793" s="57">
        <v>212.06809999999999</v>
      </c>
      <c r="K793" s="57">
        <v>213.0634</v>
      </c>
      <c r="L793" s="75" t="s">
        <v>878</v>
      </c>
      <c r="M793" s="75" t="s">
        <v>878</v>
      </c>
    </row>
    <row r="794" spans="1:13" x14ac:dyDescent="0.2">
      <c r="A794" s="54">
        <v>793</v>
      </c>
      <c r="B794" s="57">
        <v>636</v>
      </c>
      <c r="C794" s="57" t="s">
        <v>3035</v>
      </c>
      <c r="D794" s="59" t="s">
        <v>3036</v>
      </c>
      <c r="E794" s="57" t="s">
        <v>811</v>
      </c>
      <c r="F794" s="57">
        <v>241.1361</v>
      </c>
      <c r="G794" s="57">
        <v>7.9043000000000001</v>
      </c>
      <c r="H794" s="57">
        <v>241.13550000000001</v>
      </c>
      <c r="I794" s="57">
        <v>170.0498</v>
      </c>
      <c r="J794" s="57">
        <v>185.07339999999999</v>
      </c>
      <c r="K794" s="57">
        <v>226.11269999999999</v>
      </c>
      <c r="L794" s="75" t="s">
        <v>810</v>
      </c>
      <c r="M794" s="75" t="s">
        <v>810</v>
      </c>
    </row>
    <row r="795" spans="1:13" x14ac:dyDescent="0.2">
      <c r="A795" s="54">
        <v>794</v>
      </c>
      <c r="B795" s="57">
        <v>637</v>
      </c>
      <c r="C795" s="57" t="s">
        <v>2089</v>
      </c>
      <c r="D795" s="59" t="s">
        <v>2090</v>
      </c>
      <c r="E795" s="57" t="s">
        <v>2091</v>
      </c>
      <c r="F795" s="57">
        <v>288.11419999999998</v>
      </c>
      <c r="G795" s="57">
        <v>10.2234</v>
      </c>
      <c r="H795" s="57">
        <v>288.1139</v>
      </c>
      <c r="I795" s="57">
        <v>179.02449999999999</v>
      </c>
      <c r="J795" s="57">
        <v>150.01050000000001</v>
      </c>
      <c r="K795" s="57">
        <v>152.0386</v>
      </c>
      <c r="L795" s="75" t="s">
        <v>3477</v>
      </c>
      <c r="M795" s="75" t="s">
        <v>3477</v>
      </c>
    </row>
    <row r="796" spans="1:13" x14ac:dyDescent="0.2">
      <c r="A796" s="54">
        <v>795</v>
      </c>
      <c r="B796" s="57">
        <v>638</v>
      </c>
      <c r="C796" s="57" t="s">
        <v>2669</v>
      </c>
      <c r="D796" s="59" t="s">
        <v>2670</v>
      </c>
      <c r="E796" s="57" t="s">
        <v>415</v>
      </c>
      <c r="F796" s="57">
        <v>171.0087</v>
      </c>
      <c r="G796" s="57">
        <v>3.8205</v>
      </c>
      <c r="H796" s="57">
        <v>154.00550000000001</v>
      </c>
      <c r="I796" s="57">
        <v>90.033900000000003</v>
      </c>
      <c r="J796" s="57">
        <v>89.038600000000002</v>
      </c>
      <c r="K796" s="57">
        <v>171.00810000000001</v>
      </c>
      <c r="L796" s="75" t="s">
        <v>413</v>
      </c>
      <c r="M796" s="75" t="s">
        <v>413</v>
      </c>
    </row>
    <row r="797" spans="1:13" x14ac:dyDescent="0.2">
      <c r="A797" s="54">
        <v>796</v>
      </c>
      <c r="B797" s="57">
        <v>639</v>
      </c>
      <c r="C797" s="57" t="s">
        <v>2671</v>
      </c>
      <c r="D797" s="59" t="s">
        <v>2672</v>
      </c>
      <c r="E797" s="57" t="s">
        <v>414</v>
      </c>
      <c r="F797" s="57">
        <v>171.0087</v>
      </c>
      <c r="G797" s="57">
        <v>3.8666</v>
      </c>
      <c r="H797" s="57">
        <v>154.00550000000001</v>
      </c>
      <c r="I797" s="57">
        <v>90.033900000000003</v>
      </c>
      <c r="J797" s="57">
        <v>89.038600000000002</v>
      </c>
      <c r="K797" s="57">
        <v>171.00810000000001</v>
      </c>
      <c r="L797" s="75" t="s">
        <v>413</v>
      </c>
      <c r="M797" s="75" t="s">
        <v>413</v>
      </c>
    </row>
    <row r="798" spans="1:13" x14ac:dyDescent="0.2">
      <c r="A798" s="54">
        <v>797</v>
      </c>
      <c r="B798" s="57">
        <v>640</v>
      </c>
      <c r="C798" s="57" t="s">
        <v>2682</v>
      </c>
      <c r="D798" s="59" t="s">
        <v>2683</v>
      </c>
      <c r="E798" s="57" t="s">
        <v>2684</v>
      </c>
      <c r="F798" s="57">
        <v>190.95410000000001</v>
      </c>
      <c r="G798" s="57">
        <v>4.3476999999999997</v>
      </c>
      <c r="H798" s="57">
        <v>190.95359999999999</v>
      </c>
      <c r="I798" s="57">
        <v>191.95689999999999</v>
      </c>
      <c r="J798" s="57">
        <v>132.96080000000001</v>
      </c>
      <c r="K798" s="57">
        <v>134.95779999999999</v>
      </c>
      <c r="L798" s="75" t="s">
        <v>546</v>
      </c>
      <c r="M798" s="75" t="s">
        <v>546</v>
      </c>
    </row>
    <row r="799" spans="1:13" x14ac:dyDescent="0.2">
      <c r="A799" s="54">
        <v>798</v>
      </c>
      <c r="B799" s="57">
        <v>641</v>
      </c>
      <c r="C799" s="57" t="s">
        <v>2692</v>
      </c>
      <c r="D799" s="59" t="s">
        <v>2693</v>
      </c>
      <c r="E799" s="57" t="s">
        <v>2694</v>
      </c>
      <c r="F799" s="57">
        <v>224.9151</v>
      </c>
      <c r="G799" s="57">
        <v>4.8997000000000002</v>
      </c>
      <c r="H799" s="57">
        <v>224.91470000000001</v>
      </c>
      <c r="I799" s="57">
        <v>194.91669999999999</v>
      </c>
      <c r="J799" s="57">
        <v>196.91370000000001</v>
      </c>
      <c r="K799" s="57">
        <v>198.91079999999999</v>
      </c>
      <c r="L799" s="75" t="s">
        <v>553</v>
      </c>
      <c r="M799" s="75" t="s">
        <v>553</v>
      </c>
    </row>
    <row r="800" spans="1:13" x14ac:dyDescent="0.2">
      <c r="A800" s="54">
        <v>799</v>
      </c>
      <c r="B800" s="57">
        <v>642</v>
      </c>
      <c r="C800" s="57" t="s">
        <v>2983</v>
      </c>
      <c r="D800" s="59" t="s">
        <v>1202</v>
      </c>
      <c r="E800" s="57" t="s">
        <v>118</v>
      </c>
      <c r="F800" s="57">
        <v>150.10445999999999</v>
      </c>
      <c r="G800" s="57">
        <v>3.7662</v>
      </c>
      <c r="H800" s="57">
        <v>150.10380000000001</v>
      </c>
      <c r="I800" s="57">
        <v>135.0804</v>
      </c>
      <c r="J800" s="57">
        <v>136.08369999999999</v>
      </c>
      <c r="K800" s="57">
        <v>151.1071</v>
      </c>
      <c r="L800" s="75" t="s">
        <v>117</v>
      </c>
      <c r="M800" s="75" t="s">
        <v>117</v>
      </c>
    </row>
    <row r="801" spans="1:13" x14ac:dyDescent="0.2">
      <c r="A801" s="54">
        <v>800</v>
      </c>
      <c r="B801" s="57">
        <v>643</v>
      </c>
      <c r="C801" s="57" t="s">
        <v>1875</v>
      </c>
      <c r="D801" s="59" t="s">
        <v>1876</v>
      </c>
      <c r="E801" s="57" t="s">
        <v>683</v>
      </c>
      <c r="F801" s="57">
        <v>360.04640000000001</v>
      </c>
      <c r="G801" s="57">
        <v>15.4674</v>
      </c>
      <c r="H801" s="57">
        <v>360.04660000000001</v>
      </c>
      <c r="I801" s="57">
        <v>194.02420000000001</v>
      </c>
      <c r="J801" s="57">
        <v>138.0104</v>
      </c>
      <c r="K801" s="57">
        <v>362.04320000000001</v>
      </c>
      <c r="L801" s="75" t="s">
        <v>682</v>
      </c>
      <c r="M801" s="75" t="s">
        <v>682</v>
      </c>
    </row>
    <row r="802" spans="1:13" x14ac:dyDescent="0.2">
      <c r="A802" s="54">
        <v>801</v>
      </c>
      <c r="B802" s="57">
        <v>644</v>
      </c>
      <c r="C802" s="57" t="s">
        <v>2899</v>
      </c>
      <c r="D802" s="59" t="s">
        <v>2900</v>
      </c>
      <c r="E802" s="57" t="s">
        <v>405</v>
      </c>
      <c r="F802" s="57">
        <v>123.0684</v>
      </c>
      <c r="G802" s="57">
        <v>6.2903000000000002</v>
      </c>
      <c r="H802" s="57">
        <v>108.06829999999999</v>
      </c>
      <c r="I802" s="57">
        <v>125.0472</v>
      </c>
      <c r="J802" s="57">
        <v>122.06019999999999</v>
      </c>
      <c r="K802" s="57">
        <v>123.068</v>
      </c>
      <c r="L802" s="75" t="s">
        <v>3599</v>
      </c>
      <c r="M802" s="75" t="s">
        <v>3599</v>
      </c>
    </row>
    <row r="803" spans="1:13" x14ac:dyDescent="0.2">
      <c r="A803" s="54">
        <v>802</v>
      </c>
      <c r="B803" s="57">
        <v>645</v>
      </c>
      <c r="C803" s="57" t="s">
        <v>2807</v>
      </c>
      <c r="D803" s="59" t="s">
        <v>1100</v>
      </c>
      <c r="E803" s="57" t="s">
        <v>409</v>
      </c>
      <c r="F803" s="57">
        <v>144.0575</v>
      </c>
      <c r="G803" s="57">
        <v>7.6212999999999997</v>
      </c>
      <c r="H803" s="57">
        <v>144.05699999999999</v>
      </c>
      <c r="I803" s="57">
        <v>114.04649999999999</v>
      </c>
      <c r="J803" s="57">
        <v>115.05410000000001</v>
      </c>
      <c r="K803" s="57">
        <v>116.06180000000001</v>
      </c>
      <c r="L803" s="75" t="s">
        <v>408</v>
      </c>
      <c r="M803" s="75" t="s">
        <v>408</v>
      </c>
    </row>
    <row r="804" spans="1:13" x14ac:dyDescent="0.2">
      <c r="A804" s="54">
        <v>803</v>
      </c>
      <c r="B804" s="57">
        <v>646</v>
      </c>
      <c r="C804" s="57" t="s">
        <v>2898</v>
      </c>
      <c r="D804" s="59" t="s">
        <v>1506</v>
      </c>
      <c r="E804" s="57" t="s">
        <v>426</v>
      </c>
      <c r="F804" s="57">
        <v>169.08920000000001</v>
      </c>
      <c r="G804" s="57">
        <v>7.3406000000000002</v>
      </c>
      <c r="H804" s="57">
        <v>169.0882</v>
      </c>
      <c r="I804" s="57">
        <v>168.08080000000001</v>
      </c>
      <c r="J804" s="57">
        <v>170.09639999999999</v>
      </c>
      <c r="K804" s="57">
        <v>154.0652</v>
      </c>
      <c r="L804" s="75" t="s">
        <v>425</v>
      </c>
      <c r="M804" s="75" t="s">
        <v>425</v>
      </c>
    </row>
    <row r="805" spans="1:13" x14ac:dyDescent="0.2">
      <c r="A805" s="54">
        <v>804</v>
      </c>
      <c r="B805" s="57">
        <v>647</v>
      </c>
      <c r="C805" s="57" t="s">
        <v>2142</v>
      </c>
      <c r="D805" s="59" t="s">
        <v>3365</v>
      </c>
      <c r="E805" s="57" t="s">
        <v>371</v>
      </c>
      <c r="F805" s="57">
        <v>170.07320000000001</v>
      </c>
      <c r="G805" s="57">
        <v>12.804</v>
      </c>
      <c r="H805" s="57">
        <v>170.07220000000001</v>
      </c>
      <c r="I805" s="57">
        <v>169.06460000000001</v>
      </c>
      <c r="J805" s="57">
        <v>141.06970000000001</v>
      </c>
      <c r="K805" s="57">
        <v>115.05410000000001</v>
      </c>
      <c r="L805" s="75" t="s">
        <v>3632</v>
      </c>
      <c r="M805" s="75" t="s">
        <v>3632</v>
      </c>
    </row>
    <row r="806" spans="1:13" x14ac:dyDescent="0.2">
      <c r="A806" s="54">
        <v>805</v>
      </c>
      <c r="B806" s="57" t="s">
        <v>1</v>
      </c>
      <c r="C806" s="57" t="s">
        <v>2144</v>
      </c>
      <c r="D806" s="59" t="s">
        <v>1</v>
      </c>
      <c r="E806" s="57" t="s">
        <v>1</v>
      </c>
      <c r="F806" s="57" t="s">
        <v>1</v>
      </c>
      <c r="G806" s="57">
        <v>9.2897999999999996</v>
      </c>
      <c r="H806" s="57">
        <v>170.07220000000001</v>
      </c>
      <c r="I806" s="57">
        <v>169.06460000000001</v>
      </c>
      <c r="J806" s="57">
        <v>141.06970000000001</v>
      </c>
      <c r="K806" s="57">
        <v>115.05410000000001</v>
      </c>
      <c r="L806" s="75">
        <v>0</v>
      </c>
      <c r="M806" s="75" t="s">
        <v>1</v>
      </c>
    </row>
    <row r="807" spans="1:13" x14ac:dyDescent="0.2">
      <c r="A807" s="54">
        <v>806</v>
      </c>
      <c r="B807" s="57">
        <v>648</v>
      </c>
      <c r="C807" s="57" t="s">
        <v>1904</v>
      </c>
      <c r="D807" s="59" t="s">
        <v>1905</v>
      </c>
      <c r="E807" s="57" t="s">
        <v>1906</v>
      </c>
      <c r="F807" s="57">
        <v>249.99520000000001</v>
      </c>
      <c r="G807" s="57">
        <v>8.2727000000000004</v>
      </c>
      <c r="H807" s="57">
        <v>249.9948</v>
      </c>
      <c r="I807" s="57">
        <v>138.99449999999999</v>
      </c>
      <c r="J807" s="57">
        <v>140.9914</v>
      </c>
      <c r="K807" s="57">
        <v>215.02590000000001</v>
      </c>
      <c r="L807" s="75" t="s">
        <v>3493</v>
      </c>
      <c r="M807" s="75" t="s">
        <v>3493</v>
      </c>
    </row>
    <row r="808" spans="1:13" x14ac:dyDescent="0.2">
      <c r="A808" s="54">
        <v>807</v>
      </c>
      <c r="B808" s="57">
        <v>649</v>
      </c>
      <c r="C808" s="57" t="s">
        <v>2351</v>
      </c>
      <c r="D808" s="59" t="s">
        <v>1456</v>
      </c>
      <c r="E808" s="57" t="s">
        <v>157</v>
      </c>
      <c r="F808" s="57">
        <v>308.23509999999999</v>
      </c>
      <c r="G808" s="57">
        <v>19.248899999999999</v>
      </c>
      <c r="H808" s="57">
        <v>179.0857</v>
      </c>
      <c r="I808" s="57">
        <v>135.08070000000001</v>
      </c>
      <c r="J808" s="57">
        <v>107.0493</v>
      </c>
      <c r="K808" s="57">
        <v>237.1645</v>
      </c>
      <c r="L808" s="75" t="s">
        <v>156</v>
      </c>
      <c r="M808" s="75" t="s">
        <v>156</v>
      </c>
    </row>
    <row r="809" spans="1:13" x14ac:dyDescent="0.2">
      <c r="A809" s="54">
        <v>808</v>
      </c>
      <c r="B809" s="57">
        <v>650</v>
      </c>
      <c r="C809" s="57" t="s">
        <v>2314</v>
      </c>
      <c r="D809" s="59" t="s">
        <v>1089</v>
      </c>
      <c r="E809" s="57" t="s">
        <v>457</v>
      </c>
      <c r="F809" s="57">
        <v>128.0626</v>
      </c>
      <c r="G809" s="57">
        <v>3.1617000000000002</v>
      </c>
      <c r="H809" s="57">
        <v>128.06209999999999</v>
      </c>
      <c r="I809" s="57">
        <v>129.065</v>
      </c>
      <c r="J809" s="57">
        <v>126.0462</v>
      </c>
      <c r="K809" s="57">
        <v>102.06319999999999</v>
      </c>
      <c r="L809" s="75" t="s">
        <v>456</v>
      </c>
      <c r="M809" s="75" t="s">
        <v>456</v>
      </c>
    </row>
    <row r="810" spans="1:13" x14ac:dyDescent="0.2">
      <c r="A810" s="54">
        <v>809</v>
      </c>
      <c r="B810" s="57" t="s">
        <v>1</v>
      </c>
      <c r="C810" s="57" t="s">
        <v>2952</v>
      </c>
      <c r="D810" s="59" t="s">
        <v>1</v>
      </c>
      <c r="E810" s="57" t="s">
        <v>1</v>
      </c>
      <c r="F810" s="57" t="s">
        <v>1</v>
      </c>
      <c r="G810" s="57">
        <v>3.1637</v>
      </c>
      <c r="H810" s="57">
        <v>128.06209999999999</v>
      </c>
      <c r="I810" s="57">
        <v>127.0544</v>
      </c>
      <c r="J810" s="57">
        <v>102.04649999999999</v>
      </c>
      <c r="K810" s="57">
        <v>126.04649999999999</v>
      </c>
      <c r="L810" s="75">
        <v>0</v>
      </c>
      <c r="M810" s="75" t="s">
        <v>1</v>
      </c>
    </row>
    <row r="811" spans="1:13" x14ac:dyDescent="0.2">
      <c r="A811" s="54">
        <v>810</v>
      </c>
      <c r="B811" s="57">
        <v>651</v>
      </c>
      <c r="C811" s="57" t="s">
        <v>2286</v>
      </c>
      <c r="D811" s="59" t="s">
        <v>1069</v>
      </c>
      <c r="E811" s="57" t="s">
        <v>468</v>
      </c>
      <c r="F811" s="57">
        <v>142.07830000000001</v>
      </c>
      <c r="G811" s="57">
        <v>4.9019000000000004</v>
      </c>
      <c r="H811" s="57">
        <v>141.06970000000001</v>
      </c>
      <c r="I811" s="57">
        <v>142.0772</v>
      </c>
      <c r="J811" s="57">
        <v>139.054</v>
      </c>
      <c r="K811" s="57">
        <v>143.08080000000001</v>
      </c>
      <c r="L811" s="75" t="s">
        <v>467</v>
      </c>
      <c r="M811" s="75" t="s">
        <v>467</v>
      </c>
    </row>
    <row r="812" spans="1:13" x14ac:dyDescent="0.2">
      <c r="A812" s="54">
        <v>811</v>
      </c>
      <c r="B812" s="57" t="s">
        <v>1</v>
      </c>
      <c r="C812" s="57" t="s">
        <v>2287</v>
      </c>
      <c r="D812" s="59" t="s">
        <v>1</v>
      </c>
      <c r="E812" s="57" t="s">
        <v>1</v>
      </c>
      <c r="F812" s="57" t="s">
        <v>1</v>
      </c>
      <c r="G812" s="57">
        <v>3.8340000000000001</v>
      </c>
      <c r="H812" s="57">
        <v>141.06970000000001</v>
      </c>
      <c r="I812" s="57">
        <v>142.0772</v>
      </c>
      <c r="J812" s="57">
        <v>139.054</v>
      </c>
      <c r="K812" s="57">
        <v>143.08080000000001</v>
      </c>
      <c r="L812" s="75">
        <v>0</v>
      </c>
      <c r="M812" s="75" t="s">
        <v>1</v>
      </c>
    </row>
    <row r="813" spans="1:13" x14ac:dyDescent="0.2">
      <c r="A813" s="54">
        <v>812</v>
      </c>
      <c r="B813" s="57" t="s">
        <v>1</v>
      </c>
      <c r="C813" s="57" t="s">
        <v>2949</v>
      </c>
      <c r="D813" s="59" t="s">
        <v>1</v>
      </c>
      <c r="E813" s="57" t="s">
        <v>1</v>
      </c>
      <c r="F813" s="57" t="s">
        <v>1</v>
      </c>
      <c r="G813" s="57">
        <v>3.8313000000000001</v>
      </c>
      <c r="H813" s="57">
        <v>142.07740000000001</v>
      </c>
      <c r="I813" s="57">
        <v>141.06979999999999</v>
      </c>
      <c r="J813" s="57">
        <v>143.08090000000001</v>
      </c>
      <c r="K813" s="57">
        <v>144.08439999999999</v>
      </c>
      <c r="L813" s="75">
        <v>0</v>
      </c>
      <c r="M813" s="75" t="s">
        <v>1</v>
      </c>
    </row>
    <row r="814" spans="1:13" x14ac:dyDescent="0.2">
      <c r="A814" s="54">
        <v>813</v>
      </c>
      <c r="B814" s="57">
        <v>652</v>
      </c>
      <c r="C814" s="57" t="s">
        <v>2921</v>
      </c>
      <c r="D814" s="59" t="s">
        <v>2246</v>
      </c>
      <c r="E814" s="57" t="s">
        <v>539</v>
      </c>
      <c r="F814" s="57">
        <v>162.02359999999999</v>
      </c>
      <c r="G814" s="57">
        <v>4.2915000000000001</v>
      </c>
      <c r="H814" s="57">
        <v>162.02289999999999</v>
      </c>
      <c r="I814" s="57">
        <v>164.02</v>
      </c>
      <c r="J814" s="57">
        <v>155.06030000000001</v>
      </c>
      <c r="K814" s="57">
        <v>126.0463</v>
      </c>
      <c r="L814" s="75" t="s">
        <v>538</v>
      </c>
      <c r="M814" s="75" t="s">
        <v>538</v>
      </c>
    </row>
    <row r="815" spans="1:13" x14ac:dyDescent="0.2">
      <c r="A815" s="54">
        <v>814</v>
      </c>
      <c r="B815" s="57" t="s">
        <v>1</v>
      </c>
      <c r="C815" s="57" t="s">
        <v>2245</v>
      </c>
      <c r="D815" s="59" t="s">
        <v>1</v>
      </c>
      <c r="E815" s="57" t="s">
        <v>1</v>
      </c>
      <c r="F815" s="57" t="s">
        <v>1</v>
      </c>
      <c r="G815" s="57">
        <v>10.4411</v>
      </c>
      <c r="H815" s="57">
        <v>162.023</v>
      </c>
      <c r="I815" s="57">
        <v>164.02</v>
      </c>
      <c r="J815" s="57">
        <v>155.06030000000001</v>
      </c>
      <c r="K815" s="57">
        <v>163.02619999999999</v>
      </c>
      <c r="L815" s="75">
        <v>0</v>
      </c>
      <c r="M815" s="75" t="s">
        <v>1</v>
      </c>
    </row>
    <row r="816" spans="1:13" x14ac:dyDescent="0.2">
      <c r="A816" s="54">
        <v>815</v>
      </c>
      <c r="B816" s="57" t="s">
        <v>1</v>
      </c>
      <c r="C816" s="57" t="s">
        <v>2247</v>
      </c>
      <c r="D816" s="59" t="s">
        <v>1</v>
      </c>
      <c r="E816" s="57" t="s">
        <v>1</v>
      </c>
      <c r="F816" s="57" t="s">
        <v>1</v>
      </c>
      <c r="G816" s="57">
        <v>10.9633</v>
      </c>
      <c r="H816" s="57">
        <v>162.023</v>
      </c>
      <c r="I816" s="57">
        <v>164.02</v>
      </c>
      <c r="J816" s="57">
        <v>155.06030000000001</v>
      </c>
      <c r="K816" s="57">
        <v>163.02619999999999</v>
      </c>
      <c r="L816" s="75">
        <v>0</v>
      </c>
      <c r="M816" s="75" t="s">
        <v>1</v>
      </c>
    </row>
    <row r="817" spans="1:13" x14ac:dyDescent="0.2">
      <c r="A817" s="54">
        <v>816</v>
      </c>
      <c r="B817" s="57" t="s">
        <v>1</v>
      </c>
      <c r="C817" s="57" t="s">
        <v>2248</v>
      </c>
      <c r="D817" s="59" t="s">
        <v>1</v>
      </c>
      <c r="E817" s="57" t="s">
        <v>1</v>
      </c>
      <c r="F817" s="57" t="s">
        <v>1</v>
      </c>
      <c r="G817" s="57">
        <v>11.237399999999999</v>
      </c>
      <c r="H817" s="57">
        <v>162.023</v>
      </c>
      <c r="I817" s="57">
        <v>164.02</v>
      </c>
      <c r="J817" s="57">
        <v>155.06030000000001</v>
      </c>
      <c r="K817" s="57">
        <v>163.02619999999999</v>
      </c>
      <c r="L817" s="75">
        <v>0</v>
      </c>
      <c r="M817" s="75" t="s">
        <v>1</v>
      </c>
    </row>
    <row r="818" spans="1:13" x14ac:dyDescent="0.2">
      <c r="A818" s="54">
        <v>817</v>
      </c>
      <c r="B818" s="57">
        <v>653</v>
      </c>
      <c r="C818" s="57" t="s">
        <v>2852</v>
      </c>
      <c r="D818" s="59" t="s">
        <v>1107</v>
      </c>
      <c r="E818" s="57" t="s">
        <v>422</v>
      </c>
      <c r="F818" s="57">
        <v>143.0735</v>
      </c>
      <c r="G818" s="57">
        <v>7.3639999999999999</v>
      </c>
      <c r="H818" s="57">
        <v>142.07310000000001</v>
      </c>
      <c r="I818" s="57">
        <v>117.0574</v>
      </c>
      <c r="J818" s="57">
        <v>116.04949999999999</v>
      </c>
      <c r="K818" s="57">
        <v>107.0732</v>
      </c>
      <c r="L818" s="75" t="s">
        <v>362</v>
      </c>
      <c r="M818" s="75" t="s">
        <v>362</v>
      </c>
    </row>
    <row r="819" spans="1:13" x14ac:dyDescent="0.2">
      <c r="A819" s="54">
        <v>818</v>
      </c>
      <c r="B819" s="57" t="s">
        <v>1</v>
      </c>
      <c r="C819" s="57" t="s">
        <v>2890</v>
      </c>
      <c r="D819" s="59" t="s">
        <v>1</v>
      </c>
      <c r="E819" s="57" t="s">
        <v>1</v>
      </c>
      <c r="F819" s="57" t="s">
        <v>1</v>
      </c>
      <c r="G819" s="57">
        <v>7.3404999999999996</v>
      </c>
      <c r="H819" s="57">
        <v>143.07300000000001</v>
      </c>
      <c r="I819" s="57">
        <v>117.0574</v>
      </c>
      <c r="J819" s="57">
        <v>118.0652</v>
      </c>
      <c r="K819" s="57">
        <v>119.07299999999999</v>
      </c>
      <c r="L819" s="75">
        <v>0</v>
      </c>
      <c r="M819" s="75" t="s">
        <v>1</v>
      </c>
    </row>
    <row r="820" spans="1:13" x14ac:dyDescent="0.2">
      <c r="A820" s="54">
        <v>819</v>
      </c>
      <c r="B820" s="57">
        <v>654</v>
      </c>
      <c r="C820" s="57" t="s">
        <v>2843</v>
      </c>
      <c r="D820" s="59" t="s">
        <v>2844</v>
      </c>
      <c r="E820" s="57" t="s">
        <v>43</v>
      </c>
      <c r="F820" s="57">
        <v>261.13</v>
      </c>
      <c r="G820" s="57">
        <v>19.251200000000001</v>
      </c>
      <c r="H820" s="57">
        <v>97.101200000000006</v>
      </c>
      <c r="I820" s="57">
        <v>260.25040000000001</v>
      </c>
      <c r="J820" s="57">
        <v>93.07</v>
      </c>
      <c r="K820" s="57">
        <v>261.25839999999999</v>
      </c>
      <c r="L820" s="75" t="s">
        <v>42</v>
      </c>
      <c r="M820" s="75" t="s">
        <v>42</v>
      </c>
    </row>
    <row r="821" spans="1:13" x14ac:dyDescent="0.2">
      <c r="A821" s="54">
        <v>820</v>
      </c>
      <c r="B821" s="57">
        <v>655</v>
      </c>
      <c r="C821" s="57" t="s">
        <v>2885</v>
      </c>
      <c r="D821" s="59" t="s">
        <v>2295</v>
      </c>
      <c r="E821" s="57" t="s">
        <v>2296</v>
      </c>
      <c r="F821" s="57">
        <v>252.02209999999999</v>
      </c>
      <c r="G821" s="57">
        <v>13.4739</v>
      </c>
      <c r="H821" s="57">
        <v>252.02209999999999</v>
      </c>
      <c r="I821" s="57">
        <v>255.07640000000001</v>
      </c>
      <c r="J821" s="57">
        <v>254.01910000000001</v>
      </c>
      <c r="K821" s="57">
        <v>253.02019999999999</v>
      </c>
      <c r="L821" s="75" t="s">
        <v>3384</v>
      </c>
      <c r="M821" s="77" t="s">
        <v>3384</v>
      </c>
    </row>
    <row r="822" spans="1:13" x14ac:dyDescent="0.2">
      <c r="A822" s="54">
        <v>821</v>
      </c>
      <c r="B822" s="57" t="s">
        <v>1</v>
      </c>
      <c r="C822" s="57" t="s">
        <v>2294</v>
      </c>
      <c r="D822" s="59" t="s">
        <v>1</v>
      </c>
      <c r="E822" s="57" t="s">
        <v>1</v>
      </c>
      <c r="F822" s="57" t="s">
        <v>1</v>
      </c>
      <c r="G822" s="57">
        <v>13.4816</v>
      </c>
      <c r="H822" s="57">
        <v>252.0215</v>
      </c>
      <c r="I822" s="57">
        <v>254.01920000000001</v>
      </c>
      <c r="J822" s="57">
        <v>256.0163</v>
      </c>
      <c r="K822" s="57">
        <v>253.02539999999999</v>
      </c>
      <c r="L822" s="75">
        <v>0</v>
      </c>
      <c r="M822" s="75" t="s">
        <v>1</v>
      </c>
    </row>
    <row r="823" spans="1:13" x14ac:dyDescent="0.2">
      <c r="A823" s="54">
        <v>822</v>
      </c>
      <c r="B823" s="57">
        <v>656</v>
      </c>
      <c r="C823" s="57" t="s">
        <v>3079</v>
      </c>
      <c r="D823" s="59" t="s">
        <v>3080</v>
      </c>
      <c r="E823" s="57" t="s">
        <v>656</v>
      </c>
      <c r="F823" s="57">
        <v>449.10059999999999</v>
      </c>
      <c r="G823" s="57">
        <v>14.8988</v>
      </c>
      <c r="H823" s="57">
        <v>449.10070000000002</v>
      </c>
      <c r="I823" s="57">
        <v>181.06469999999999</v>
      </c>
      <c r="J823" s="57">
        <v>141.05090000000001</v>
      </c>
      <c r="K823" s="57">
        <v>197.03399999999999</v>
      </c>
      <c r="L823" s="75" t="s">
        <v>655</v>
      </c>
      <c r="M823" s="75" t="s">
        <v>655</v>
      </c>
    </row>
    <row r="824" spans="1:13" x14ac:dyDescent="0.2">
      <c r="A824" s="54">
        <v>823</v>
      </c>
      <c r="B824" s="57">
        <v>657</v>
      </c>
      <c r="C824" s="57" t="s">
        <v>2816</v>
      </c>
      <c r="D824" s="59" t="s">
        <v>1510</v>
      </c>
      <c r="E824" s="57" t="s">
        <v>424</v>
      </c>
      <c r="F824" s="57">
        <v>169.0891</v>
      </c>
      <c r="G824" s="57">
        <v>6.6384999999999996</v>
      </c>
      <c r="H824" s="57">
        <v>169.08840000000001</v>
      </c>
      <c r="I824" s="57">
        <v>168.08080000000001</v>
      </c>
      <c r="J824" s="57">
        <v>154.06530000000001</v>
      </c>
      <c r="K824" s="57">
        <v>141.06989999999999</v>
      </c>
      <c r="L824" s="75" t="s">
        <v>425</v>
      </c>
      <c r="M824" s="75" t="s">
        <v>425</v>
      </c>
    </row>
    <row r="825" spans="1:13" x14ac:dyDescent="0.2">
      <c r="A825" s="54">
        <v>824</v>
      </c>
      <c r="B825" s="57" t="s">
        <v>1</v>
      </c>
      <c r="C825" s="57" t="s">
        <v>2877</v>
      </c>
      <c r="D825" s="59" t="s">
        <v>1</v>
      </c>
      <c r="E825" s="57" t="s">
        <v>1</v>
      </c>
      <c r="F825" s="57" t="s">
        <v>1</v>
      </c>
      <c r="G825" s="57">
        <v>5.3659999999999997</v>
      </c>
      <c r="H825" s="57">
        <v>169.08879999999999</v>
      </c>
      <c r="I825" s="57">
        <v>168.08099999999999</v>
      </c>
      <c r="J825" s="57">
        <v>167.07310000000001</v>
      </c>
      <c r="K825" s="57">
        <v>170.0924</v>
      </c>
      <c r="L825" s="75">
        <v>0</v>
      </c>
      <c r="M825" s="75" t="s">
        <v>1</v>
      </c>
    </row>
    <row r="826" spans="1:13" x14ac:dyDescent="0.2">
      <c r="A826" s="54">
        <v>825</v>
      </c>
      <c r="B826" s="57">
        <v>658</v>
      </c>
      <c r="C826" s="57" t="s">
        <v>2293</v>
      </c>
      <c r="D826" s="59" t="s">
        <v>1513</v>
      </c>
      <c r="E826" s="57" t="s">
        <v>428</v>
      </c>
      <c r="F826" s="57">
        <v>184.1</v>
      </c>
      <c r="G826" s="57">
        <v>9.6824999999999992</v>
      </c>
      <c r="H826" s="57">
        <v>185.0805</v>
      </c>
      <c r="I826" s="57">
        <v>183.13339999999999</v>
      </c>
      <c r="J826" s="57">
        <v>91.054199999999994</v>
      </c>
      <c r="K826" s="57">
        <v>91.054199999999994</v>
      </c>
      <c r="L826" s="75" t="s">
        <v>427</v>
      </c>
      <c r="M826" s="75" t="s">
        <v>427</v>
      </c>
    </row>
    <row r="827" spans="1:13" x14ac:dyDescent="0.2">
      <c r="A827" s="54">
        <v>826</v>
      </c>
      <c r="B827" s="57" t="s">
        <v>1</v>
      </c>
      <c r="C827" s="57" t="s">
        <v>2985</v>
      </c>
      <c r="D827" s="59" t="s">
        <v>1</v>
      </c>
      <c r="E827" s="57" t="s">
        <v>1</v>
      </c>
      <c r="F827" s="57" t="s">
        <v>1</v>
      </c>
      <c r="G827" s="57">
        <v>5.6984000000000004</v>
      </c>
      <c r="H827" s="57">
        <v>184.09960000000001</v>
      </c>
      <c r="I827" s="57">
        <v>182.0838</v>
      </c>
      <c r="J827" s="57">
        <v>183.0872</v>
      </c>
      <c r="K827" s="57">
        <v>181.0761</v>
      </c>
      <c r="L827" s="75">
        <v>0</v>
      </c>
      <c r="M827" s="75" t="s">
        <v>1</v>
      </c>
    </row>
    <row r="828" spans="1:13" x14ac:dyDescent="0.2">
      <c r="A828" s="54">
        <v>827</v>
      </c>
      <c r="B828" s="57">
        <v>659</v>
      </c>
      <c r="C828" s="57" t="s">
        <v>2853</v>
      </c>
      <c r="D828" s="59" t="s">
        <v>3366</v>
      </c>
      <c r="E828" s="57" t="s">
        <v>586</v>
      </c>
      <c r="F828" s="57">
        <v>158.14189999999999</v>
      </c>
      <c r="G828" s="57">
        <v>4.5048000000000004</v>
      </c>
      <c r="H828" s="57">
        <v>156.13839999999999</v>
      </c>
      <c r="I828" s="57">
        <v>128.13839999999999</v>
      </c>
      <c r="J828" s="57">
        <v>158.142</v>
      </c>
      <c r="K828" s="57">
        <v>115.1309</v>
      </c>
      <c r="L828" s="75" t="s">
        <v>585</v>
      </c>
      <c r="M828" s="75" t="s">
        <v>585</v>
      </c>
    </row>
    <row r="829" spans="1:13" x14ac:dyDescent="0.2">
      <c r="A829" s="54">
        <v>828</v>
      </c>
      <c r="B829" s="57">
        <v>660</v>
      </c>
      <c r="C829" s="57" t="s">
        <v>1997</v>
      </c>
      <c r="D829" s="59" t="s">
        <v>1998</v>
      </c>
      <c r="E829" s="57" t="s">
        <v>887</v>
      </c>
      <c r="F829" s="57">
        <v>173.0607</v>
      </c>
      <c r="G829" s="57">
        <v>18.4436</v>
      </c>
      <c r="H829" s="57">
        <v>173.05969999999999</v>
      </c>
      <c r="I829" s="57">
        <v>138.0676</v>
      </c>
      <c r="J829" s="57">
        <v>174.06739999999999</v>
      </c>
      <c r="K829" s="57">
        <v>132.05699999999999</v>
      </c>
      <c r="L829" s="75" t="s">
        <v>886</v>
      </c>
      <c r="M829" s="75" t="s">
        <v>886</v>
      </c>
    </row>
    <row r="830" spans="1:13" x14ac:dyDescent="0.2">
      <c r="A830" s="54">
        <v>829</v>
      </c>
      <c r="B830" s="57">
        <v>661</v>
      </c>
      <c r="C830" s="57" t="s">
        <v>2367</v>
      </c>
      <c r="D830" s="59" t="s">
        <v>1250</v>
      </c>
      <c r="E830" s="57" t="s">
        <v>874</v>
      </c>
      <c r="F830" s="57">
        <v>267.9461</v>
      </c>
      <c r="G830" s="57">
        <v>7.7123999999999997</v>
      </c>
      <c r="H830" s="57">
        <v>97.060500000000005</v>
      </c>
      <c r="I830" s="57">
        <v>95.049199999999999</v>
      </c>
      <c r="J830" s="57">
        <v>179.1431</v>
      </c>
      <c r="K830" s="57">
        <v>178.0942</v>
      </c>
      <c r="L830" s="75" t="s">
        <v>873</v>
      </c>
      <c r="M830" s="75" t="s">
        <v>873</v>
      </c>
    </row>
    <row r="831" spans="1:13" x14ac:dyDescent="0.2">
      <c r="A831" s="54">
        <v>830</v>
      </c>
      <c r="B831" s="57">
        <v>662</v>
      </c>
      <c r="C831" s="57" t="s">
        <v>2382</v>
      </c>
      <c r="D831" s="59" t="s">
        <v>2383</v>
      </c>
      <c r="E831" s="57" t="s">
        <v>2384</v>
      </c>
      <c r="F831" s="57">
        <v>253.93039999999999</v>
      </c>
      <c r="G831" s="57">
        <v>8.7144999999999992</v>
      </c>
      <c r="H831" s="57">
        <v>254.89279999999999</v>
      </c>
      <c r="I831" s="57">
        <v>216.9374</v>
      </c>
      <c r="J831" s="57">
        <v>252.89590000000001</v>
      </c>
      <c r="K831" s="57">
        <v>218.93430000000001</v>
      </c>
      <c r="L831" s="75" t="s">
        <v>3487</v>
      </c>
      <c r="M831" s="75" t="s">
        <v>3487</v>
      </c>
    </row>
    <row r="832" spans="1:13" x14ac:dyDescent="0.2">
      <c r="A832" s="54">
        <v>831</v>
      </c>
      <c r="B832" s="57">
        <v>663</v>
      </c>
      <c r="C832" s="57" t="s">
        <v>2858</v>
      </c>
      <c r="D832" s="59" t="s">
        <v>3367</v>
      </c>
      <c r="E832" s="57" t="s">
        <v>584</v>
      </c>
      <c r="F832" s="57">
        <v>100.0637</v>
      </c>
      <c r="G832" s="57">
        <v>11.316000000000001</v>
      </c>
      <c r="H832" s="57">
        <v>99.062399999999997</v>
      </c>
      <c r="I832" s="57">
        <v>101.04179999999999</v>
      </c>
      <c r="J832" s="57">
        <v>87.0261</v>
      </c>
      <c r="K832" s="57">
        <v>100.0622</v>
      </c>
      <c r="L832" s="75" t="s">
        <v>583</v>
      </c>
      <c r="M832" s="75" t="s">
        <v>583</v>
      </c>
    </row>
    <row r="833" spans="1:13" x14ac:dyDescent="0.2">
      <c r="A833" s="54">
        <v>832</v>
      </c>
      <c r="B833" s="57">
        <v>664</v>
      </c>
      <c r="C833" s="57" t="s">
        <v>2344</v>
      </c>
      <c r="D833" s="59" t="s">
        <v>3158</v>
      </c>
      <c r="E833" s="57" t="s">
        <v>22</v>
      </c>
      <c r="F833" s="57">
        <v>180.07900000000001</v>
      </c>
      <c r="G833" s="57">
        <v>8.1974</v>
      </c>
      <c r="H833" s="57">
        <v>180.07689999999999</v>
      </c>
      <c r="I833" s="57">
        <v>179.0701</v>
      </c>
      <c r="J833" s="57">
        <v>178.065</v>
      </c>
      <c r="K833" s="57">
        <v>122.06019999999999</v>
      </c>
      <c r="L833" s="75" t="s">
        <v>21</v>
      </c>
      <c r="M833" s="75" t="s">
        <v>21</v>
      </c>
    </row>
    <row r="834" spans="1:13" x14ac:dyDescent="0.2">
      <c r="A834" s="54">
        <v>833</v>
      </c>
      <c r="B834" s="57">
        <v>665</v>
      </c>
      <c r="C834" s="57" t="s">
        <v>2342</v>
      </c>
      <c r="D834" s="59" t="s">
        <v>3159</v>
      </c>
      <c r="E834" s="57" t="s">
        <v>28</v>
      </c>
      <c r="F834" s="57">
        <v>228.07859999999999</v>
      </c>
      <c r="G834" s="57">
        <v>10.0809</v>
      </c>
      <c r="H834" s="57">
        <v>228.0779</v>
      </c>
      <c r="I834" s="57">
        <v>121.0886</v>
      </c>
      <c r="J834" s="57">
        <v>227.07249999999999</v>
      </c>
      <c r="K834" s="57">
        <v>226.1593</v>
      </c>
      <c r="L834" s="75" t="s">
        <v>27</v>
      </c>
      <c r="M834" s="75" t="s">
        <v>27</v>
      </c>
    </row>
    <row r="835" spans="1:13" x14ac:dyDescent="0.2">
      <c r="A835" s="54">
        <v>834</v>
      </c>
      <c r="B835" s="57">
        <v>666</v>
      </c>
      <c r="C835" s="57" t="s">
        <v>2341</v>
      </c>
      <c r="D835" s="59" t="s">
        <v>3152</v>
      </c>
      <c r="E835" s="57" t="s">
        <v>26</v>
      </c>
      <c r="F835" s="57">
        <v>194.0943</v>
      </c>
      <c r="G835" s="57">
        <v>7.3639999999999999</v>
      </c>
      <c r="H835" s="57">
        <v>121.06480000000001</v>
      </c>
      <c r="I835" s="57">
        <v>139.0753</v>
      </c>
      <c r="J835" s="57">
        <v>93.069900000000004</v>
      </c>
      <c r="K835" s="57">
        <v>194.0959</v>
      </c>
      <c r="L835" s="75" t="s">
        <v>23</v>
      </c>
      <c r="M835" s="75" t="s">
        <v>23</v>
      </c>
    </row>
    <row r="836" spans="1:13" x14ac:dyDescent="0.2">
      <c r="A836" s="54">
        <v>835</v>
      </c>
      <c r="B836" s="57">
        <v>667</v>
      </c>
      <c r="C836" s="57" t="s">
        <v>2869</v>
      </c>
      <c r="D836" s="59" t="s">
        <v>1200</v>
      </c>
      <c r="E836" s="57" t="s">
        <v>70</v>
      </c>
      <c r="F836" s="57">
        <v>162.06809999999999</v>
      </c>
      <c r="G836" s="57">
        <v>18.506499999999999</v>
      </c>
      <c r="H836" s="57">
        <v>161.02350000000001</v>
      </c>
      <c r="I836" s="57">
        <v>147.0445</v>
      </c>
      <c r="J836" s="57">
        <v>135.04419999999999</v>
      </c>
      <c r="K836" s="57">
        <v>131.0496</v>
      </c>
      <c r="L836" s="75" t="s">
        <v>64</v>
      </c>
      <c r="M836" s="75" t="s">
        <v>64</v>
      </c>
    </row>
    <row r="837" spans="1:13" x14ac:dyDescent="0.2">
      <c r="A837" s="54">
        <v>836</v>
      </c>
      <c r="B837" s="57">
        <v>668</v>
      </c>
      <c r="C837" s="57" t="s">
        <v>2374</v>
      </c>
      <c r="D837" s="59" t="s">
        <v>2375</v>
      </c>
      <c r="E837" s="57" t="s">
        <v>870</v>
      </c>
      <c r="F837" s="57">
        <v>200.024</v>
      </c>
      <c r="G837" s="57">
        <v>12.67</v>
      </c>
      <c r="H837" s="57">
        <v>200.02520000000001</v>
      </c>
      <c r="I837" s="57">
        <v>141.08070000000001</v>
      </c>
      <c r="J837" s="57">
        <v>212.02520000000001</v>
      </c>
      <c r="K837" s="57">
        <v>211.0411</v>
      </c>
      <c r="L837" s="75" t="s">
        <v>869</v>
      </c>
      <c r="M837" s="75" t="s">
        <v>869</v>
      </c>
    </row>
    <row r="838" spans="1:13" x14ac:dyDescent="0.2">
      <c r="A838" s="54">
        <v>837</v>
      </c>
      <c r="B838" s="57">
        <v>669</v>
      </c>
      <c r="C838" s="57" t="s">
        <v>2355</v>
      </c>
      <c r="D838" s="59" t="s">
        <v>3248</v>
      </c>
      <c r="E838" s="57" t="s">
        <v>2356</v>
      </c>
      <c r="F838" s="57">
        <v>219.96940000000001</v>
      </c>
      <c r="G838" s="57">
        <v>13.046799999999999</v>
      </c>
      <c r="H838" s="57">
        <v>219.9708</v>
      </c>
      <c r="I838" s="57">
        <v>247.96549999999999</v>
      </c>
      <c r="J838" s="57">
        <v>217.9675</v>
      </c>
      <c r="K838" s="57">
        <v>218.9761</v>
      </c>
      <c r="L838" s="75" t="s">
        <v>787</v>
      </c>
      <c r="M838" s="75" t="s">
        <v>787</v>
      </c>
    </row>
    <row r="839" spans="1:13" x14ac:dyDescent="0.2">
      <c r="A839" s="54">
        <v>838</v>
      </c>
      <c r="B839" s="57">
        <v>670</v>
      </c>
      <c r="C839" s="57" t="s">
        <v>2379</v>
      </c>
      <c r="D839" s="59" t="s">
        <v>2380</v>
      </c>
      <c r="E839" s="57" t="s">
        <v>2381</v>
      </c>
      <c r="F839" s="57">
        <v>248.00069999999999</v>
      </c>
      <c r="G839" s="57">
        <v>12.8399</v>
      </c>
      <c r="H839" s="57">
        <v>248.0026</v>
      </c>
      <c r="I839" s="57">
        <v>249.9999</v>
      </c>
      <c r="J839" s="57">
        <v>231.99260000000001</v>
      </c>
      <c r="K839" s="57">
        <v>188.99189999999999</v>
      </c>
      <c r="L839" s="75" t="s">
        <v>3391</v>
      </c>
      <c r="M839" s="75" t="s">
        <v>3391</v>
      </c>
    </row>
    <row r="840" spans="1:13" x14ac:dyDescent="0.2">
      <c r="A840" s="54">
        <v>839</v>
      </c>
      <c r="B840" s="57">
        <v>671</v>
      </c>
      <c r="C840" s="57" t="s">
        <v>2513</v>
      </c>
      <c r="D840" s="59" t="s">
        <v>3148</v>
      </c>
      <c r="E840" s="57" t="s">
        <v>856</v>
      </c>
      <c r="F840" s="57">
        <v>419.08749999999998</v>
      </c>
      <c r="G840" s="57">
        <v>17.8447</v>
      </c>
      <c r="H840" s="57">
        <v>167.08539999999999</v>
      </c>
      <c r="I840" s="57">
        <v>141.07</v>
      </c>
      <c r="J840" s="57">
        <v>169.10120000000001</v>
      </c>
      <c r="K840" s="57">
        <v>168.08920000000001</v>
      </c>
      <c r="L840" s="75" t="s">
        <v>855</v>
      </c>
      <c r="M840" s="75" t="s">
        <v>855</v>
      </c>
    </row>
    <row r="841" spans="1:13" x14ac:dyDescent="0.2">
      <c r="A841" s="54">
        <v>840</v>
      </c>
      <c r="B841" s="57">
        <v>672</v>
      </c>
      <c r="C841" s="57" t="s">
        <v>2211</v>
      </c>
      <c r="D841" s="59" t="s">
        <v>2212</v>
      </c>
      <c r="E841" s="57" t="s">
        <v>671</v>
      </c>
      <c r="F841" s="57">
        <v>246.03020000000001</v>
      </c>
      <c r="G841" s="57">
        <v>6.4530000000000003</v>
      </c>
      <c r="H841" s="57">
        <v>246.02979999999999</v>
      </c>
      <c r="I841" s="57">
        <v>108.98699999999999</v>
      </c>
      <c r="J841" s="57">
        <v>137.01820000000001</v>
      </c>
      <c r="K841" s="57">
        <v>110.01819999999999</v>
      </c>
      <c r="L841" s="75" t="s">
        <v>670</v>
      </c>
      <c r="M841" s="75" t="s">
        <v>670</v>
      </c>
    </row>
    <row r="842" spans="1:13" x14ac:dyDescent="0.2">
      <c r="A842" s="54">
        <v>841</v>
      </c>
      <c r="B842" s="57">
        <v>673</v>
      </c>
      <c r="C842" s="57" t="s">
        <v>2346</v>
      </c>
      <c r="D842" s="59" t="s">
        <v>1056</v>
      </c>
      <c r="E842" s="57" t="s">
        <v>571</v>
      </c>
      <c r="F842" s="57">
        <v>206.1671</v>
      </c>
      <c r="G842" s="57">
        <v>4.9086999999999996</v>
      </c>
      <c r="H842" s="57">
        <v>206.16669999999999</v>
      </c>
      <c r="I842" s="57">
        <v>205.15870000000001</v>
      </c>
      <c r="J842" s="57">
        <v>206.16650000000001</v>
      </c>
      <c r="K842" s="57">
        <v>191.143</v>
      </c>
      <c r="L842" s="75" t="s">
        <v>154</v>
      </c>
      <c r="M842" s="75" t="s">
        <v>154</v>
      </c>
    </row>
    <row r="843" spans="1:13" x14ac:dyDescent="0.2">
      <c r="A843" s="54">
        <v>842</v>
      </c>
      <c r="B843" s="57">
        <v>674</v>
      </c>
      <c r="C843" s="57" t="s">
        <v>2651</v>
      </c>
      <c r="D843" s="59" t="s">
        <v>2652</v>
      </c>
      <c r="E843" s="57" t="s">
        <v>164</v>
      </c>
      <c r="F843" s="57">
        <v>106.0783</v>
      </c>
      <c r="G843" s="57">
        <v>17.296199999999999</v>
      </c>
      <c r="H843" s="57">
        <v>106.0778</v>
      </c>
      <c r="I843" s="57">
        <v>91.054199999999994</v>
      </c>
      <c r="J843" s="57">
        <v>105.0699</v>
      </c>
      <c r="K843" s="57">
        <v>93.07</v>
      </c>
      <c r="L843" s="75"/>
      <c r="M843" s="73" t="s">
        <v>3596</v>
      </c>
    </row>
    <row r="844" spans="1:13" x14ac:dyDescent="0.2">
      <c r="A844" s="54">
        <v>843</v>
      </c>
      <c r="B844" s="57">
        <v>675</v>
      </c>
      <c r="C844" s="57" t="s">
        <v>2274</v>
      </c>
      <c r="D844" s="59" t="s">
        <v>3143</v>
      </c>
      <c r="E844" s="57" t="s">
        <v>569</v>
      </c>
      <c r="F844" s="57">
        <v>108.0575</v>
      </c>
      <c r="G844" s="57">
        <v>4.6787000000000001</v>
      </c>
      <c r="H844" s="57">
        <v>107.0856</v>
      </c>
      <c r="I844" s="57">
        <v>109.06489999999999</v>
      </c>
      <c r="J844" s="57">
        <v>105.07</v>
      </c>
      <c r="K844" s="57">
        <v>108.057</v>
      </c>
      <c r="L844" s="75" t="s">
        <v>3598</v>
      </c>
      <c r="M844" s="75" t="s">
        <v>3598</v>
      </c>
    </row>
    <row r="845" spans="1:13" x14ac:dyDescent="0.2">
      <c r="A845" s="54">
        <v>844</v>
      </c>
      <c r="B845" s="57" t="s">
        <v>1</v>
      </c>
      <c r="C845" s="57" t="s">
        <v>2950</v>
      </c>
      <c r="D845" s="59" t="s">
        <v>1</v>
      </c>
      <c r="E845" s="57" t="s">
        <v>1</v>
      </c>
      <c r="F845" s="57" t="s">
        <v>1</v>
      </c>
      <c r="G845" s="57">
        <v>7.2709000000000001</v>
      </c>
      <c r="H845" s="57">
        <v>108.057</v>
      </c>
      <c r="I845" s="57">
        <v>109.06480000000001</v>
      </c>
      <c r="J845" s="57">
        <v>107.0813</v>
      </c>
      <c r="K845" s="57">
        <v>110.06829999999999</v>
      </c>
      <c r="L845" s="75">
        <v>0</v>
      </c>
      <c r="M845" s="75" t="s">
        <v>1</v>
      </c>
    </row>
    <row r="846" spans="1:13" x14ac:dyDescent="0.2">
      <c r="A846" s="54">
        <v>845</v>
      </c>
      <c r="B846" s="57">
        <v>676</v>
      </c>
      <c r="C846" s="57" t="s">
        <v>2562</v>
      </c>
      <c r="D846" s="59" t="s">
        <v>2563</v>
      </c>
      <c r="E846" s="57" t="s">
        <v>198</v>
      </c>
      <c r="F846" s="57">
        <v>126.0236</v>
      </c>
      <c r="G846" s="57">
        <v>3.8666</v>
      </c>
      <c r="H846" s="57">
        <v>128.01580000000001</v>
      </c>
      <c r="I846" s="57">
        <v>125.0155</v>
      </c>
      <c r="J846" s="57">
        <v>124.0077</v>
      </c>
      <c r="K846" s="57">
        <v>90.046499999999995</v>
      </c>
      <c r="L846" s="75" t="s">
        <v>3602</v>
      </c>
      <c r="M846" s="75" t="s">
        <v>3602</v>
      </c>
    </row>
    <row r="847" spans="1:13" x14ac:dyDescent="0.2">
      <c r="A847" s="54">
        <v>846</v>
      </c>
      <c r="B847" s="57">
        <v>677</v>
      </c>
      <c r="C847" s="57" t="s">
        <v>2249</v>
      </c>
      <c r="D847" s="59" t="s">
        <v>2250</v>
      </c>
      <c r="E847" s="57" t="s">
        <v>2251</v>
      </c>
      <c r="F847" s="57">
        <v>145.96899999999999</v>
      </c>
      <c r="G847" s="57">
        <v>5.9378000000000002</v>
      </c>
      <c r="H847" s="57">
        <v>145.96870000000001</v>
      </c>
      <c r="I847" s="57">
        <v>144.96090000000001</v>
      </c>
      <c r="J847" s="57">
        <v>146.9579</v>
      </c>
      <c r="K847" s="57">
        <v>132.96080000000001</v>
      </c>
      <c r="L847" s="75" t="s">
        <v>491</v>
      </c>
      <c r="M847" s="75" t="s">
        <v>491</v>
      </c>
    </row>
    <row r="848" spans="1:13" ht="25" x14ac:dyDescent="0.2">
      <c r="A848" s="54">
        <v>847</v>
      </c>
      <c r="B848" s="57">
        <v>678</v>
      </c>
      <c r="C848" s="57" t="s">
        <v>2894</v>
      </c>
      <c r="D848" s="59" t="s">
        <v>1134</v>
      </c>
      <c r="E848" s="57" t="s">
        <v>430</v>
      </c>
      <c r="F848" s="57">
        <v>107.0735</v>
      </c>
      <c r="G848" s="57">
        <v>7.8705999999999996</v>
      </c>
      <c r="H848" s="57">
        <v>107.07299999999999</v>
      </c>
      <c r="I848" s="57">
        <v>106.0651</v>
      </c>
      <c r="J848" s="57">
        <v>108.07640000000001</v>
      </c>
      <c r="K848" s="57">
        <v>105.03360000000001</v>
      </c>
      <c r="L848" s="75"/>
      <c r="M848" s="74" t="s">
        <v>3642</v>
      </c>
    </row>
    <row r="849" spans="1:13" x14ac:dyDescent="0.2">
      <c r="A849" s="54">
        <v>848</v>
      </c>
      <c r="B849" s="57" t="s">
        <v>1</v>
      </c>
      <c r="C849" s="57" t="s">
        <v>2874</v>
      </c>
      <c r="D849" s="59" t="s">
        <v>1</v>
      </c>
      <c r="E849" s="57" t="s">
        <v>1</v>
      </c>
      <c r="F849" s="57" t="s">
        <v>1</v>
      </c>
      <c r="G849" s="57">
        <v>5.7969999999999997</v>
      </c>
      <c r="H849" s="57">
        <v>106.06529999999999</v>
      </c>
      <c r="I849" s="57">
        <v>107.07299999999999</v>
      </c>
      <c r="J849" s="57">
        <v>108.06829999999999</v>
      </c>
      <c r="K849" s="57">
        <v>105.0573</v>
      </c>
      <c r="L849" s="75">
        <v>0</v>
      </c>
      <c r="M849" s="75" t="s">
        <v>1</v>
      </c>
    </row>
    <row r="850" spans="1:13" x14ac:dyDescent="0.2">
      <c r="A850" s="54">
        <v>849</v>
      </c>
      <c r="B850" s="57">
        <v>679</v>
      </c>
      <c r="C850" s="57" t="s">
        <v>2320</v>
      </c>
      <c r="D850" s="59" t="s">
        <v>2321</v>
      </c>
      <c r="E850" s="57" t="s">
        <v>2322</v>
      </c>
      <c r="F850" s="57">
        <v>128.00290000000001</v>
      </c>
      <c r="G850" s="57">
        <v>8.1951000000000001</v>
      </c>
      <c r="H850" s="57">
        <v>128.00239999999999</v>
      </c>
      <c r="I850" s="57">
        <v>129.99940000000001</v>
      </c>
      <c r="J850" s="57">
        <v>126.99460000000001</v>
      </c>
      <c r="K850" s="57">
        <v>100.0074</v>
      </c>
      <c r="L850" s="75" t="s">
        <v>3600</v>
      </c>
      <c r="M850" s="75" t="s">
        <v>3600</v>
      </c>
    </row>
    <row r="851" spans="1:13" x14ac:dyDescent="0.2">
      <c r="A851" s="54">
        <v>850</v>
      </c>
      <c r="B851" s="57" t="s">
        <v>1</v>
      </c>
      <c r="C851" s="57" t="s">
        <v>2923</v>
      </c>
      <c r="D851" s="59" t="s">
        <v>1</v>
      </c>
      <c r="E851" s="57" t="s">
        <v>1</v>
      </c>
      <c r="F851" s="57" t="s">
        <v>1</v>
      </c>
      <c r="G851" s="57">
        <v>8.1980000000000004</v>
      </c>
      <c r="H851" s="57">
        <v>128.0025</v>
      </c>
      <c r="I851" s="57">
        <v>126.99469999999999</v>
      </c>
      <c r="J851" s="57">
        <v>129.0059</v>
      </c>
      <c r="K851" s="57">
        <v>129.99950000000001</v>
      </c>
      <c r="L851" s="75">
        <v>0</v>
      </c>
      <c r="M851" s="75" t="s">
        <v>1</v>
      </c>
    </row>
    <row r="852" spans="1:13" x14ac:dyDescent="0.2">
      <c r="A852" s="54">
        <v>851</v>
      </c>
      <c r="B852" s="57">
        <v>680</v>
      </c>
      <c r="C852" s="57" t="s">
        <v>2647</v>
      </c>
      <c r="D852" s="59" t="s">
        <v>3368</v>
      </c>
      <c r="E852" s="57" t="s">
        <v>204</v>
      </c>
      <c r="F852" s="57">
        <v>120.0939</v>
      </c>
      <c r="G852" s="57">
        <v>7.7168999999999999</v>
      </c>
      <c r="H852" s="57">
        <v>105.0699</v>
      </c>
      <c r="I852" s="57">
        <v>119.0855</v>
      </c>
      <c r="J852" s="57">
        <v>91.054199999999994</v>
      </c>
      <c r="K852" s="57">
        <v>115.0754</v>
      </c>
      <c r="L852" s="75" t="s">
        <v>203</v>
      </c>
      <c r="M852" s="75" t="s">
        <v>203</v>
      </c>
    </row>
    <row r="853" spans="1:13" x14ac:dyDescent="0.2">
      <c r="A853" s="54">
        <v>852</v>
      </c>
      <c r="B853" s="57">
        <v>681</v>
      </c>
      <c r="C853" s="57" t="s">
        <v>2879</v>
      </c>
      <c r="D853" s="59" t="s">
        <v>3369</v>
      </c>
      <c r="E853" s="57" t="s">
        <v>508</v>
      </c>
      <c r="F853" s="57">
        <v>141.03450000000001</v>
      </c>
      <c r="G853" s="57">
        <v>5.2998000000000003</v>
      </c>
      <c r="H853" s="57">
        <v>141.0342</v>
      </c>
      <c r="I853" s="57">
        <v>140.02619999999999</v>
      </c>
      <c r="J853" s="57">
        <v>104.0258</v>
      </c>
      <c r="K853" s="57">
        <v>142.0581</v>
      </c>
      <c r="L853" s="75" t="s">
        <v>3633</v>
      </c>
      <c r="M853" s="76" t="s">
        <v>507</v>
      </c>
    </row>
    <row r="854" spans="1:13" x14ac:dyDescent="0.2">
      <c r="A854" s="54">
        <v>853</v>
      </c>
      <c r="B854" s="57">
        <v>682</v>
      </c>
      <c r="C854" s="57" t="s">
        <v>1950</v>
      </c>
      <c r="D854" s="59" t="s">
        <v>3370</v>
      </c>
      <c r="E854" s="57" t="s">
        <v>421</v>
      </c>
      <c r="F854" s="57">
        <v>160.97989999999999</v>
      </c>
      <c r="G854" s="57">
        <v>4.3521999999999998</v>
      </c>
      <c r="H854" s="57">
        <v>160.9795</v>
      </c>
      <c r="I854" s="57">
        <v>161.96860000000001</v>
      </c>
      <c r="J854" s="57">
        <v>107.97620000000001</v>
      </c>
      <c r="K854" s="57">
        <v>108.98399999999999</v>
      </c>
      <c r="L854" s="75" t="s">
        <v>420</v>
      </c>
      <c r="M854" s="75" t="s">
        <v>420</v>
      </c>
    </row>
    <row r="855" spans="1:13" x14ac:dyDescent="0.2">
      <c r="A855" s="54">
        <v>854</v>
      </c>
      <c r="B855" s="57">
        <v>683</v>
      </c>
      <c r="C855" s="57" t="s">
        <v>2883</v>
      </c>
      <c r="D855" s="59" t="s">
        <v>3163</v>
      </c>
      <c r="E855" s="57" t="s">
        <v>387</v>
      </c>
      <c r="F855" s="57">
        <v>122.0844</v>
      </c>
      <c r="G855" s="57">
        <v>5.0989000000000004</v>
      </c>
      <c r="H855" s="57">
        <v>122.0838</v>
      </c>
      <c r="I855" s="57">
        <v>119.0365</v>
      </c>
      <c r="J855" s="57">
        <v>118.0287</v>
      </c>
      <c r="K855" s="57">
        <v>120.0398</v>
      </c>
      <c r="L855" s="75" t="s">
        <v>3634</v>
      </c>
      <c r="M855" s="75" t="s">
        <v>3634</v>
      </c>
    </row>
    <row r="856" spans="1:13" x14ac:dyDescent="0.2">
      <c r="A856" s="54">
        <v>855</v>
      </c>
      <c r="B856" s="57" t="s">
        <v>1</v>
      </c>
      <c r="C856" s="57" t="s">
        <v>2884</v>
      </c>
      <c r="D856" s="59" t="s">
        <v>1</v>
      </c>
      <c r="E856" s="57" t="s">
        <v>1</v>
      </c>
      <c r="F856" s="57" t="s">
        <v>1</v>
      </c>
      <c r="G856" s="57">
        <v>4.6792999999999996</v>
      </c>
      <c r="H856" s="57">
        <v>122.0838</v>
      </c>
      <c r="I856" s="57">
        <v>119.0365</v>
      </c>
      <c r="J856" s="57">
        <v>118.0287</v>
      </c>
      <c r="K856" s="57">
        <v>120.0398</v>
      </c>
      <c r="L856" s="75">
        <v>0</v>
      </c>
      <c r="M856" s="75" t="s">
        <v>1</v>
      </c>
    </row>
    <row r="857" spans="1:13" x14ac:dyDescent="0.2">
      <c r="A857" s="54">
        <v>856</v>
      </c>
      <c r="B857" s="57">
        <v>684</v>
      </c>
      <c r="C857" s="57" t="s">
        <v>2870</v>
      </c>
      <c r="D857" s="59" t="s">
        <v>2871</v>
      </c>
      <c r="E857" s="57" t="s">
        <v>2872</v>
      </c>
      <c r="F857" s="57">
        <v>213.89109999999999</v>
      </c>
      <c r="G857" s="57">
        <v>5.7035999999999998</v>
      </c>
      <c r="H857" s="57">
        <v>213.89060000000001</v>
      </c>
      <c r="I857" s="57">
        <v>215.88759999999999</v>
      </c>
      <c r="J857" s="57">
        <v>217.88470000000001</v>
      </c>
      <c r="K857" s="57">
        <v>219.8817</v>
      </c>
      <c r="L857" s="75" t="s">
        <v>3438</v>
      </c>
      <c r="M857" s="75" t="s">
        <v>3438</v>
      </c>
    </row>
    <row r="858" spans="1:13" x14ac:dyDescent="0.2">
      <c r="A858" s="54">
        <v>857</v>
      </c>
      <c r="B858" s="57">
        <v>685</v>
      </c>
      <c r="C858" s="57" t="s">
        <v>2524</v>
      </c>
      <c r="D858" s="59" t="s">
        <v>3371</v>
      </c>
      <c r="E858" s="57" t="s">
        <v>144</v>
      </c>
      <c r="F858" s="57">
        <v>195.92490000000001</v>
      </c>
      <c r="G858" s="57">
        <v>11.6046</v>
      </c>
      <c r="H858" s="57">
        <v>195.9246</v>
      </c>
      <c r="I858" s="57">
        <v>197.92150000000001</v>
      </c>
      <c r="J858" s="57">
        <v>96.983999999999995</v>
      </c>
      <c r="K858" s="57">
        <v>131.953</v>
      </c>
      <c r="L858" s="75" t="s">
        <v>3432</v>
      </c>
      <c r="M858" s="75" t="s">
        <v>3432</v>
      </c>
    </row>
    <row r="859" spans="1:13" x14ac:dyDescent="0.2">
      <c r="A859" s="54">
        <v>858</v>
      </c>
      <c r="B859" s="57" t="s">
        <v>1</v>
      </c>
      <c r="C859" s="57" t="s">
        <v>2964</v>
      </c>
      <c r="D859" s="59" t="s">
        <v>1</v>
      </c>
      <c r="E859" s="57" t="s">
        <v>1</v>
      </c>
      <c r="F859" s="57" t="s">
        <v>1</v>
      </c>
      <c r="G859" s="57">
        <v>4.1333000000000002</v>
      </c>
      <c r="H859" s="57">
        <v>195.92439999999999</v>
      </c>
      <c r="I859" s="57">
        <v>197.92140000000001</v>
      </c>
      <c r="J859" s="57">
        <v>96.983900000000006</v>
      </c>
      <c r="K859" s="57">
        <v>199.91839999999999</v>
      </c>
      <c r="L859" s="75">
        <v>0</v>
      </c>
      <c r="M859" s="75" t="s">
        <v>1</v>
      </c>
    </row>
    <row r="860" spans="1:13" x14ac:dyDescent="0.2">
      <c r="A860" s="54">
        <v>859</v>
      </c>
      <c r="B860" s="57">
        <v>686</v>
      </c>
      <c r="C860" s="57" t="s">
        <v>2007</v>
      </c>
      <c r="D860" s="59" t="s">
        <v>1247</v>
      </c>
      <c r="E860" s="57" t="s">
        <v>902</v>
      </c>
      <c r="F860" s="57">
        <v>239.131</v>
      </c>
      <c r="G860" s="57">
        <v>8.4087999999999994</v>
      </c>
      <c r="H860" s="57">
        <v>239.13059999999999</v>
      </c>
      <c r="I860" s="57">
        <v>167.08529999999999</v>
      </c>
      <c r="J860" s="57">
        <v>165.06970000000001</v>
      </c>
      <c r="K860" s="57">
        <v>152.06190000000001</v>
      </c>
      <c r="L860" s="75" t="s">
        <v>901</v>
      </c>
      <c r="M860" s="75" t="s">
        <v>901</v>
      </c>
    </row>
    <row r="861" spans="1:13" x14ac:dyDescent="0.2">
      <c r="A861" s="54">
        <v>860</v>
      </c>
      <c r="B861" s="57" t="s">
        <v>1</v>
      </c>
      <c r="C861" s="57" t="s">
        <v>3024</v>
      </c>
      <c r="D861" s="59" t="s">
        <v>1</v>
      </c>
      <c r="E861" s="57" t="s">
        <v>1</v>
      </c>
      <c r="F861" s="57" t="s">
        <v>1</v>
      </c>
      <c r="G861" s="57">
        <v>8.4093</v>
      </c>
      <c r="H861" s="57">
        <v>239.13059999999999</v>
      </c>
      <c r="I861" s="57">
        <v>167.08580000000001</v>
      </c>
      <c r="J861" s="57">
        <v>165.0702</v>
      </c>
      <c r="K861" s="57">
        <v>168.08920000000001</v>
      </c>
      <c r="L861" s="75">
        <v>0</v>
      </c>
      <c r="M861" s="75" t="s">
        <v>1</v>
      </c>
    </row>
    <row r="862" spans="1:13" x14ac:dyDescent="0.2">
      <c r="A862" s="54">
        <v>861</v>
      </c>
      <c r="B862" s="57">
        <v>687</v>
      </c>
      <c r="C862" s="57" t="s">
        <v>2102</v>
      </c>
      <c r="D862" s="59" t="s">
        <v>2103</v>
      </c>
      <c r="E862" s="57" t="s">
        <v>2104</v>
      </c>
      <c r="F862" s="57">
        <v>321.13650000000001</v>
      </c>
      <c r="G862" s="57">
        <v>13.777699999999999</v>
      </c>
      <c r="H862" s="57">
        <v>321.13709999999998</v>
      </c>
      <c r="I862" s="57">
        <v>318.13659999999999</v>
      </c>
      <c r="J862" s="57">
        <v>333.16019999999997</v>
      </c>
      <c r="K862" s="57">
        <v>320.1336</v>
      </c>
      <c r="L862" s="75" t="s">
        <v>3529</v>
      </c>
      <c r="M862" s="75" t="s">
        <v>3529</v>
      </c>
    </row>
    <row r="863" spans="1:13" x14ac:dyDescent="0.2">
      <c r="A863" s="54">
        <v>862</v>
      </c>
      <c r="B863" s="57">
        <v>688</v>
      </c>
      <c r="C863" s="57" t="s">
        <v>1749</v>
      </c>
      <c r="D863" s="59" t="s">
        <v>3287</v>
      </c>
      <c r="E863" s="57" t="s">
        <v>745</v>
      </c>
      <c r="F863" s="57">
        <v>403.81689999999998</v>
      </c>
      <c r="G863" s="57">
        <v>10.7845</v>
      </c>
      <c r="H863" s="57">
        <v>194.91579999999999</v>
      </c>
      <c r="I863" s="57">
        <v>197.9392</v>
      </c>
      <c r="J863" s="57">
        <v>106.9314</v>
      </c>
      <c r="K863" s="57">
        <v>198.92840000000001</v>
      </c>
      <c r="L863" s="75" t="s">
        <v>744</v>
      </c>
      <c r="M863" s="75" t="s">
        <v>744</v>
      </c>
    </row>
    <row r="864" spans="1:13" x14ac:dyDescent="0.2">
      <c r="A864" s="54">
        <v>863</v>
      </c>
      <c r="B864" s="57" t="s">
        <v>1</v>
      </c>
      <c r="C864" s="57" t="s">
        <v>1908</v>
      </c>
      <c r="D864" s="59" t="s">
        <v>1</v>
      </c>
      <c r="E864" s="57" t="s">
        <v>1</v>
      </c>
      <c r="F864" s="57" t="s">
        <v>1</v>
      </c>
      <c r="G864" s="57">
        <v>10.789199999999999</v>
      </c>
      <c r="H864" s="57">
        <v>194.953</v>
      </c>
      <c r="I864" s="57">
        <v>337.92009999999999</v>
      </c>
      <c r="J864" s="57">
        <v>339.91730000000001</v>
      </c>
      <c r="K864" s="57">
        <v>341.91430000000003</v>
      </c>
      <c r="L864" s="75">
        <v>0</v>
      </c>
      <c r="M864" s="75" t="s">
        <v>1</v>
      </c>
    </row>
    <row r="865" spans="1:13" x14ac:dyDescent="0.2">
      <c r="A865" s="54">
        <v>864</v>
      </c>
      <c r="B865" s="57">
        <v>689</v>
      </c>
      <c r="C865" s="57" t="s">
        <v>2568</v>
      </c>
      <c r="D865" s="59" t="s">
        <v>2569</v>
      </c>
      <c r="E865" s="57" t="s">
        <v>2570</v>
      </c>
      <c r="F865" s="57">
        <v>233.84469999999999</v>
      </c>
      <c r="G865" s="57">
        <v>13.048999999999999</v>
      </c>
      <c r="H865" s="57">
        <v>154.9315</v>
      </c>
      <c r="I865" s="57">
        <v>155.9393</v>
      </c>
      <c r="J865" s="57">
        <v>156.9427</v>
      </c>
      <c r="K865" s="57">
        <v>152.93350000000001</v>
      </c>
      <c r="L865" s="75" t="s">
        <v>3413</v>
      </c>
      <c r="M865" s="75" t="s">
        <v>3413</v>
      </c>
    </row>
    <row r="866" spans="1:13" x14ac:dyDescent="0.2">
      <c r="A866" s="54">
        <v>865</v>
      </c>
      <c r="B866" s="57">
        <v>690</v>
      </c>
      <c r="C866" s="57" t="s">
        <v>2643</v>
      </c>
      <c r="D866" s="59" t="s">
        <v>2644</v>
      </c>
      <c r="E866" s="57" t="s">
        <v>2645</v>
      </c>
      <c r="F866" s="57">
        <v>145.94569999999999</v>
      </c>
      <c r="G866" s="57">
        <v>5.1355000000000004</v>
      </c>
      <c r="H866" s="57">
        <v>145.94550000000001</v>
      </c>
      <c r="I866" s="57">
        <v>110.9766</v>
      </c>
      <c r="J866" s="57">
        <v>109.97320000000001</v>
      </c>
      <c r="K866" s="57">
        <v>112.9789</v>
      </c>
      <c r="L866" s="75" t="s">
        <v>3635</v>
      </c>
      <c r="M866" s="75" t="s">
        <v>3635</v>
      </c>
    </row>
    <row r="867" spans="1:13" x14ac:dyDescent="0.2">
      <c r="A867" s="54">
        <v>866</v>
      </c>
      <c r="B867" s="57" t="s">
        <v>1</v>
      </c>
      <c r="C867" s="57" t="s">
        <v>2646</v>
      </c>
      <c r="D867" s="59" t="s">
        <v>1</v>
      </c>
      <c r="E867" s="57" t="s">
        <v>1</v>
      </c>
      <c r="F867" s="57" t="s">
        <v>1</v>
      </c>
      <c r="G867" s="57">
        <v>4.5552000000000001</v>
      </c>
      <c r="H867" s="57">
        <v>145.94550000000001</v>
      </c>
      <c r="I867" s="57">
        <v>110.9766</v>
      </c>
      <c r="J867" s="57">
        <v>109.97320000000001</v>
      </c>
      <c r="K867" s="57">
        <v>112.9789</v>
      </c>
      <c r="L867" s="75">
        <v>0</v>
      </c>
      <c r="M867" s="75" t="s">
        <v>1</v>
      </c>
    </row>
    <row r="868" spans="1:13" x14ac:dyDescent="0.2">
      <c r="A868" s="54">
        <v>867</v>
      </c>
      <c r="B868" s="57">
        <v>691</v>
      </c>
      <c r="C868" s="57" t="s">
        <v>2503</v>
      </c>
      <c r="D868" s="59" t="s">
        <v>3372</v>
      </c>
      <c r="E868" s="57" t="s">
        <v>490</v>
      </c>
      <c r="F868" s="57">
        <v>102.0252</v>
      </c>
      <c r="G868" s="57">
        <v>4.0355999999999996</v>
      </c>
      <c r="H868" s="57">
        <v>100.01819999999999</v>
      </c>
      <c r="I868" s="57">
        <v>99.010400000000004</v>
      </c>
      <c r="J868" s="57">
        <v>101.02160000000001</v>
      </c>
      <c r="K868" s="57">
        <v>102.02160000000001</v>
      </c>
      <c r="L868" s="75" t="s">
        <v>489</v>
      </c>
      <c r="M868" s="75" t="s">
        <v>489</v>
      </c>
    </row>
    <row r="869" spans="1:13" x14ac:dyDescent="0.2">
      <c r="A869" s="54">
        <v>868</v>
      </c>
      <c r="B869" s="57">
        <v>692</v>
      </c>
      <c r="C869" s="57" t="s">
        <v>2043</v>
      </c>
      <c r="D869" s="59" t="s">
        <v>2044</v>
      </c>
      <c r="E869" s="57" t="s">
        <v>2045</v>
      </c>
      <c r="F869" s="57">
        <v>364.13760000000002</v>
      </c>
      <c r="G869" s="57">
        <v>16.108000000000001</v>
      </c>
      <c r="H869" s="57">
        <v>364.13709999999998</v>
      </c>
      <c r="I869" s="57">
        <v>366.13389999999998</v>
      </c>
      <c r="J869" s="57">
        <v>365.0147</v>
      </c>
      <c r="K869" s="57">
        <v>148.15039999999999</v>
      </c>
      <c r="L869" s="75" t="s">
        <v>3533</v>
      </c>
      <c r="M869" s="75" t="s">
        <v>3533</v>
      </c>
    </row>
    <row r="870" spans="1:13" x14ac:dyDescent="0.2">
      <c r="A870" s="54">
        <v>869</v>
      </c>
      <c r="B870" s="57">
        <v>693</v>
      </c>
      <c r="C870" s="57" t="s">
        <v>2659</v>
      </c>
      <c r="D870" s="59" t="s">
        <v>2660</v>
      </c>
      <c r="E870" s="57" t="s">
        <v>2661</v>
      </c>
      <c r="F870" s="57">
        <v>201.97810000000001</v>
      </c>
      <c r="G870" s="57">
        <v>5.1905000000000001</v>
      </c>
      <c r="H870" s="57">
        <v>201.97749999999999</v>
      </c>
      <c r="I870" s="57">
        <v>203.97460000000001</v>
      </c>
      <c r="J870" s="57">
        <v>109.9918</v>
      </c>
      <c r="K870" s="57">
        <v>204.97800000000001</v>
      </c>
      <c r="L870" s="75" t="s">
        <v>3620</v>
      </c>
      <c r="M870" s="75" t="s">
        <v>3620</v>
      </c>
    </row>
    <row r="871" spans="1:13" x14ac:dyDescent="0.2">
      <c r="A871" s="54">
        <v>870</v>
      </c>
      <c r="B871" s="57">
        <v>694</v>
      </c>
      <c r="C871" s="57" t="s">
        <v>2875</v>
      </c>
      <c r="D871" s="59" t="s">
        <v>3161</v>
      </c>
      <c r="E871" s="57" t="s">
        <v>401</v>
      </c>
      <c r="F871" s="57">
        <v>225.1266</v>
      </c>
      <c r="G871" s="57">
        <v>7.3989000000000003</v>
      </c>
      <c r="H871" s="57">
        <v>134.09649999999999</v>
      </c>
      <c r="I871" s="57">
        <v>106.0652</v>
      </c>
      <c r="J871" s="57">
        <v>135.0805</v>
      </c>
      <c r="K871" s="57">
        <v>227.0838</v>
      </c>
      <c r="L871" s="75" t="s">
        <v>400</v>
      </c>
      <c r="M871" s="75" t="s">
        <v>400</v>
      </c>
    </row>
    <row r="872" spans="1:13" x14ac:dyDescent="0.2">
      <c r="A872" s="54">
        <v>871</v>
      </c>
      <c r="B872" s="57">
        <v>695</v>
      </c>
      <c r="C872" s="57" t="s">
        <v>2830</v>
      </c>
      <c r="D872" s="59" t="s">
        <v>2831</v>
      </c>
      <c r="E872" s="57" t="s">
        <v>535</v>
      </c>
      <c r="F872" s="57">
        <v>114.0681</v>
      </c>
      <c r="G872" s="57">
        <v>9.8104999999999993</v>
      </c>
      <c r="H872" s="57">
        <v>99.043999999999997</v>
      </c>
      <c r="I872" s="57">
        <v>97.064800000000005</v>
      </c>
      <c r="J872" s="57">
        <v>113.0596</v>
      </c>
      <c r="K872" s="57">
        <v>96.057000000000002</v>
      </c>
      <c r="L872" s="75" t="s">
        <v>3636</v>
      </c>
      <c r="M872" s="76" t="s">
        <v>534</v>
      </c>
    </row>
    <row r="873" spans="1:13" x14ac:dyDescent="0.2">
      <c r="A873" s="54">
        <v>872</v>
      </c>
      <c r="B873" s="57">
        <v>696</v>
      </c>
      <c r="C873" s="57" t="s">
        <v>2552</v>
      </c>
      <c r="D873" s="59" t="s">
        <v>2553</v>
      </c>
      <c r="E873" s="57" t="s">
        <v>200</v>
      </c>
      <c r="F873" s="57">
        <v>134.1096</v>
      </c>
      <c r="G873" s="57">
        <v>7.9785000000000004</v>
      </c>
      <c r="H873" s="57">
        <v>134.10910000000001</v>
      </c>
      <c r="I873" s="57">
        <v>119.08540000000001</v>
      </c>
      <c r="J873" s="57">
        <v>133.1011</v>
      </c>
      <c r="K873" s="57">
        <v>103.0637</v>
      </c>
      <c r="L873" s="75" t="s">
        <v>194</v>
      </c>
      <c r="M873" s="75" t="s">
        <v>194</v>
      </c>
    </row>
    <row r="874" spans="1:13" x14ac:dyDescent="0.2">
      <c r="A874" s="54">
        <v>873</v>
      </c>
      <c r="B874" s="57">
        <v>697</v>
      </c>
      <c r="C874" s="57" t="s">
        <v>2609</v>
      </c>
      <c r="D874" s="59" t="s">
        <v>2610</v>
      </c>
      <c r="E874" s="57" t="s">
        <v>498</v>
      </c>
      <c r="F874" s="57">
        <v>120.0939</v>
      </c>
      <c r="G874" s="57">
        <v>17.294</v>
      </c>
      <c r="H874" s="57">
        <v>120.0934</v>
      </c>
      <c r="I874" s="57">
        <v>105.0699</v>
      </c>
      <c r="J874" s="57">
        <v>106.0778</v>
      </c>
      <c r="K874" s="57">
        <v>119.0857</v>
      </c>
      <c r="L874" s="75"/>
      <c r="M874" s="75" t="s">
        <v>203</v>
      </c>
    </row>
    <row r="875" spans="1:13" x14ac:dyDescent="0.2">
      <c r="A875" s="54">
        <v>874</v>
      </c>
      <c r="B875" s="57">
        <v>698</v>
      </c>
      <c r="C875" s="57" t="s">
        <v>2814</v>
      </c>
      <c r="D875" s="59" t="s">
        <v>1164</v>
      </c>
      <c r="E875" s="57" t="s">
        <v>113</v>
      </c>
      <c r="F875" s="57">
        <v>120.0575</v>
      </c>
      <c r="G875" s="57">
        <v>11.4733</v>
      </c>
      <c r="H875" s="57">
        <v>120.05710000000001</v>
      </c>
      <c r="I875" s="57">
        <v>104.04949999999999</v>
      </c>
      <c r="J875" s="57">
        <v>121.0605</v>
      </c>
      <c r="K875" s="57">
        <v>106.05249999999999</v>
      </c>
      <c r="L875" s="75" t="s">
        <v>3637</v>
      </c>
      <c r="M875" s="75" t="s">
        <v>3637</v>
      </c>
    </row>
    <row r="876" spans="1:13" x14ac:dyDescent="0.2">
      <c r="A876" s="54">
        <v>875</v>
      </c>
      <c r="B876" s="57">
        <v>699</v>
      </c>
      <c r="C876" s="57" t="s">
        <v>2956</v>
      </c>
      <c r="D876" s="59" t="s">
        <v>1047</v>
      </c>
      <c r="E876" s="57" t="s">
        <v>502</v>
      </c>
      <c r="F876" s="57">
        <v>123.032</v>
      </c>
      <c r="G876" s="57">
        <v>7.2977999999999996</v>
      </c>
      <c r="H876" s="57">
        <v>123.03279999999999</v>
      </c>
      <c r="I876" s="57">
        <v>121.02849999999999</v>
      </c>
      <c r="J876" s="57">
        <v>122.0363</v>
      </c>
      <c r="K876" s="57">
        <v>120.02079999999999</v>
      </c>
      <c r="L876" s="75" t="s">
        <v>501</v>
      </c>
      <c r="M876" s="75" t="s">
        <v>501</v>
      </c>
    </row>
    <row r="877" spans="1:13" x14ac:dyDescent="0.2">
      <c r="A877" s="54">
        <v>876</v>
      </c>
      <c r="B877" s="57" t="s">
        <v>1</v>
      </c>
      <c r="C877" s="57" t="s">
        <v>2269</v>
      </c>
      <c r="D877" s="59" t="s">
        <v>1</v>
      </c>
      <c r="E877" s="57" t="s">
        <v>1</v>
      </c>
      <c r="F877" s="57" t="s">
        <v>1</v>
      </c>
      <c r="G877" s="57">
        <v>8.1389999999999993</v>
      </c>
      <c r="H877" s="57">
        <v>123.03149999999999</v>
      </c>
      <c r="I877" s="57">
        <v>124.02160000000001</v>
      </c>
      <c r="J877" s="57">
        <v>122.0236</v>
      </c>
      <c r="K877" s="57">
        <v>121.03959999999999</v>
      </c>
      <c r="L877" s="75">
        <v>0</v>
      </c>
      <c r="M877" s="75" t="s">
        <v>1</v>
      </c>
    </row>
    <row r="878" spans="1:13" x14ac:dyDescent="0.2">
      <c r="A878" s="54">
        <v>877</v>
      </c>
      <c r="B878" s="57">
        <v>700</v>
      </c>
      <c r="C878" s="57" t="s">
        <v>2954</v>
      </c>
      <c r="D878" s="59" t="s">
        <v>2290</v>
      </c>
      <c r="E878" s="57" t="s">
        <v>411</v>
      </c>
      <c r="F878" s="57">
        <v>138.0429</v>
      </c>
      <c r="G878" s="57">
        <v>5.0262000000000002</v>
      </c>
      <c r="H878" s="57">
        <v>138.04239999999999</v>
      </c>
      <c r="I878" s="57">
        <v>108.0444</v>
      </c>
      <c r="J878" s="57">
        <v>92.049499999999995</v>
      </c>
      <c r="K878" s="57">
        <v>139.04580000000001</v>
      </c>
      <c r="L878" s="75" t="s">
        <v>410</v>
      </c>
      <c r="M878" s="75" t="s">
        <v>410</v>
      </c>
    </row>
    <row r="879" spans="1:13" x14ac:dyDescent="0.2">
      <c r="A879" s="54">
        <v>878</v>
      </c>
      <c r="B879" s="57" t="s">
        <v>1</v>
      </c>
      <c r="C879" s="57" t="s">
        <v>2289</v>
      </c>
      <c r="D879" s="59" t="s">
        <v>1</v>
      </c>
      <c r="E879" s="57" t="s">
        <v>1</v>
      </c>
      <c r="F879" s="57" t="s">
        <v>1</v>
      </c>
      <c r="G879" s="57">
        <v>12.4411</v>
      </c>
      <c r="H879" s="57">
        <v>138.04239999999999</v>
      </c>
      <c r="I879" s="57">
        <v>108.0444</v>
      </c>
      <c r="J879" s="57">
        <v>92.025700000000001</v>
      </c>
      <c r="K879" s="57">
        <v>139.04990000000001</v>
      </c>
      <c r="L879" s="75">
        <v>0</v>
      </c>
      <c r="M879" s="75" t="s">
        <v>1</v>
      </c>
    </row>
    <row r="880" spans="1:13" x14ac:dyDescent="0.2">
      <c r="A880" s="54">
        <v>879</v>
      </c>
      <c r="B880" s="57">
        <v>701</v>
      </c>
      <c r="C880" s="57" t="s">
        <v>1947</v>
      </c>
      <c r="D880" s="59" t="s">
        <v>1948</v>
      </c>
      <c r="E880" s="57" t="s">
        <v>1949</v>
      </c>
      <c r="F880" s="57">
        <v>205.965</v>
      </c>
      <c r="G880" s="57">
        <v>6.1593</v>
      </c>
      <c r="H880" s="57">
        <v>205.96440000000001</v>
      </c>
      <c r="I880" s="57">
        <v>175.96639999999999</v>
      </c>
      <c r="J880" s="57">
        <v>177.96340000000001</v>
      </c>
      <c r="K880" s="57">
        <v>207.9614</v>
      </c>
      <c r="L880" s="75" t="s">
        <v>3457</v>
      </c>
      <c r="M880" s="75" t="s">
        <v>3457</v>
      </c>
    </row>
    <row r="881" spans="1:13" x14ac:dyDescent="0.2">
      <c r="A881" s="54">
        <v>880</v>
      </c>
      <c r="B881" s="57">
        <v>702</v>
      </c>
      <c r="C881" s="57" t="s">
        <v>2338</v>
      </c>
      <c r="D881" s="59" t="s">
        <v>3543</v>
      </c>
      <c r="E881" s="57" t="s">
        <v>135</v>
      </c>
      <c r="F881" s="57">
        <v>154.0266</v>
      </c>
      <c r="G881" s="57">
        <v>5.4070999999999998</v>
      </c>
      <c r="H881" s="57">
        <v>109.02849999999999</v>
      </c>
      <c r="I881" s="57">
        <v>110.0363</v>
      </c>
      <c r="J881" s="57">
        <v>193.01669999999999</v>
      </c>
      <c r="K881" s="57">
        <v>104.04949999999999</v>
      </c>
      <c r="L881" s="75" t="s">
        <v>134</v>
      </c>
      <c r="M881" s="75" t="s">
        <v>134</v>
      </c>
    </row>
    <row r="882" spans="1:13" x14ac:dyDescent="0.2">
      <c r="A882" s="54">
        <v>881</v>
      </c>
      <c r="B882" s="57">
        <v>703</v>
      </c>
      <c r="C882" s="57" t="s">
        <v>2679</v>
      </c>
      <c r="D882" s="59" t="s">
        <v>2680</v>
      </c>
      <c r="E882" s="57" t="s">
        <v>2681</v>
      </c>
      <c r="F882" s="57">
        <v>190.95410000000001</v>
      </c>
      <c r="G882" s="57">
        <v>4.2343999999999999</v>
      </c>
      <c r="H882" s="57">
        <v>190.95359999999999</v>
      </c>
      <c r="I882" s="57">
        <v>191.95689999999999</v>
      </c>
      <c r="J882" s="57">
        <v>132.96080000000001</v>
      </c>
      <c r="K882" s="57">
        <v>134.95779999999999</v>
      </c>
      <c r="L882" s="75" t="s">
        <v>546</v>
      </c>
      <c r="M882" s="75" t="s">
        <v>546</v>
      </c>
    </row>
    <row r="883" spans="1:13" x14ac:dyDescent="0.2">
      <c r="A883" s="54">
        <v>882</v>
      </c>
      <c r="B883" s="57">
        <v>704</v>
      </c>
      <c r="C883" s="57" t="s">
        <v>2859</v>
      </c>
      <c r="D883" s="59" t="s">
        <v>3289</v>
      </c>
      <c r="E883" s="57" t="s">
        <v>367</v>
      </c>
      <c r="F883" s="57">
        <v>152.05860000000001</v>
      </c>
      <c r="G883" s="57">
        <v>9.5109999999999992</v>
      </c>
      <c r="H883" s="57">
        <v>106.03700000000001</v>
      </c>
      <c r="I883" s="57">
        <v>92.025800000000004</v>
      </c>
      <c r="J883" s="57">
        <v>123.04430000000001</v>
      </c>
      <c r="K883" s="57">
        <v>107.038</v>
      </c>
      <c r="L883" s="75" t="s">
        <v>366</v>
      </c>
      <c r="M883" s="75" t="s">
        <v>366</v>
      </c>
    </row>
    <row r="884" spans="1:13" x14ac:dyDescent="0.2">
      <c r="A884" s="54">
        <v>883</v>
      </c>
      <c r="B884" s="57" t="s">
        <v>1</v>
      </c>
      <c r="C884" s="57" t="s">
        <v>2878</v>
      </c>
      <c r="D884" s="59" t="s">
        <v>1</v>
      </c>
      <c r="E884" s="57" t="s">
        <v>1</v>
      </c>
      <c r="F884" s="57" t="s">
        <v>1</v>
      </c>
      <c r="G884" s="57">
        <v>6.5594000000000001</v>
      </c>
      <c r="H884" s="57">
        <v>152.0582</v>
      </c>
      <c r="I884" s="57">
        <v>150.04650000000001</v>
      </c>
      <c r="J884" s="57">
        <v>151.05430000000001</v>
      </c>
      <c r="K884" s="57">
        <v>153.06549999999999</v>
      </c>
      <c r="L884" s="75">
        <v>0</v>
      </c>
      <c r="M884" s="75" t="s">
        <v>1</v>
      </c>
    </row>
    <row r="885" spans="1:13" x14ac:dyDescent="0.2">
      <c r="A885" s="54">
        <v>884</v>
      </c>
      <c r="B885" s="57">
        <v>705</v>
      </c>
      <c r="C885" s="57" t="s">
        <v>2828</v>
      </c>
      <c r="D885" s="59" t="s">
        <v>2829</v>
      </c>
      <c r="E885" s="57" t="s">
        <v>356</v>
      </c>
      <c r="F885" s="57">
        <v>168.0171</v>
      </c>
      <c r="G885" s="57">
        <v>4.6809000000000003</v>
      </c>
      <c r="H885" s="57">
        <v>168.01660000000001</v>
      </c>
      <c r="I885" s="57">
        <v>92.025700000000001</v>
      </c>
      <c r="J885" s="57">
        <v>122.01519999999999</v>
      </c>
      <c r="K885" s="57">
        <v>121.01609999999999</v>
      </c>
      <c r="L885" s="75" t="s">
        <v>3638</v>
      </c>
      <c r="M885" s="75" t="s">
        <v>3638</v>
      </c>
    </row>
    <row r="886" spans="1:13" x14ac:dyDescent="0.2">
      <c r="A886" s="54">
        <v>885</v>
      </c>
      <c r="B886" s="57">
        <v>706</v>
      </c>
      <c r="C886" s="57" t="s">
        <v>2337</v>
      </c>
      <c r="D886" s="59" t="s">
        <v>1431</v>
      </c>
      <c r="E886" s="57" t="s">
        <v>32</v>
      </c>
      <c r="F886" s="57">
        <v>152.04730000000001</v>
      </c>
      <c r="G886" s="57">
        <v>4.3925999999999998</v>
      </c>
      <c r="H886" s="57">
        <v>152.04679999999999</v>
      </c>
      <c r="I886" s="57">
        <v>93.033600000000007</v>
      </c>
      <c r="J886" s="57">
        <v>151.03899999999999</v>
      </c>
      <c r="K886" s="57">
        <v>121.05249999999999</v>
      </c>
      <c r="L886" s="75" t="s">
        <v>31</v>
      </c>
      <c r="M886" s="75" t="s">
        <v>31</v>
      </c>
    </row>
    <row r="887" spans="1:13" x14ac:dyDescent="0.2">
      <c r="A887" s="54">
        <v>886</v>
      </c>
      <c r="B887" s="57">
        <v>707</v>
      </c>
      <c r="C887" s="57" t="s">
        <v>2611</v>
      </c>
      <c r="D887" s="59" t="s">
        <v>3373</v>
      </c>
      <c r="E887" s="57" t="s">
        <v>202</v>
      </c>
      <c r="F887" s="57">
        <v>134.1096</v>
      </c>
      <c r="G887" s="57">
        <v>6.2885999999999997</v>
      </c>
      <c r="H887" s="57">
        <v>134.10910000000001</v>
      </c>
      <c r="I887" s="57">
        <v>119.08540000000001</v>
      </c>
      <c r="J887" s="57">
        <v>133.1011</v>
      </c>
      <c r="K887" s="57">
        <v>103.0637</v>
      </c>
      <c r="L887" s="75" t="s">
        <v>194</v>
      </c>
      <c r="M887" s="75" t="s">
        <v>194</v>
      </c>
    </row>
    <row r="888" spans="1:13" x14ac:dyDescent="0.2">
      <c r="A888" s="54">
        <v>887</v>
      </c>
      <c r="B888" s="57">
        <v>708</v>
      </c>
      <c r="C888" s="57" t="s">
        <v>2334</v>
      </c>
      <c r="D888" s="59" t="s">
        <v>1418</v>
      </c>
      <c r="E888" s="57" t="s">
        <v>13</v>
      </c>
      <c r="F888" s="57">
        <v>138.0317</v>
      </c>
      <c r="G888" s="57">
        <v>7.2679999999999998</v>
      </c>
      <c r="H888" s="57">
        <v>138.03129999999999</v>
      </c>
      <c r="I888" s="57">
        <v>137.0472</v>
      </c>
      <c r="J888" s="57">
        <v>136.0394</v>
      </c>
      <c r="K888" s="57">
        <v>139.03899999999999</v>
      </c>
      <c r="L888" s="75" t="s">
        <v>12</v>
      </c>
      <c r="M888" s="75" t="s">
        <v>12</v>
      </c>
    </row>
    <row r="889" spans="1:13" x14ac:dyDescent="0.2">
      <c r="A889" s="54">
        <v>888</v>
      </c>
      <c r="B889" s="57" t="s">
        <v>1</v>
      </c>
      <c r="C889" s="57" t="s">
        <v>2335</v>
      </c>
      <c r="D889" s="59" t="s">
        <v>1</v>
      </c>
      <c r="E889" s="57" t="s">
        <v>1</v>
      </c>
      <c r="F889" s="57" t="s">
        <v>1</v>
      </c>
      <c r="G889" s="57">
        <v>8.7033000000000005</v>
      </c>
      <c r="H889" s="57">
        <v>138.03129999999999</v>
      </c>
      <c r="I889" s="57">
        <v>137.0472</v>
      </c>
      <c r="J889" s="57">
        <v>136.0394</v>
      </c>
      <c r="K889" s="57">
        <v>139.03899999999999</v>
      </c>
      <c r="L889" s="75">
        <v>0</v>
      </c>
      <c r="M889" s="75" t="s">
        <v>1</v>
      </c>
    </row>
    <row r="890" spans="1:13" x14ac:dyDescent="0.2">
      <c r="A890" s="54">
        <v>889</v>
      </c>
      <c r="B890" s="57" t="s">
        <v>1</v>
      </c>
      <c r="C890" s="57" t="s">
        <v>2336</v>
      </c>
      <c r="D890" s="59" t="s">
        <v>1</v>
      </c>
      <c r="E890" s="57" t="s">
        <v>1</v>
      </c>
      <c r="F890" s="57" t="s">
        <v>1</v>
      </c>
      <c r="G890" s="57">
        <v>5.0096999999999996</v>
      </c>
      <c r="H890" s="57">
        <v>138.03129999999999</v>
      </c>
      <c r="I890" s="57">
        <v>137.0472</v>
      </c>
      <c r="J890" s="57">
        <v>136.0394</v>
      </c>
      <c r="K890" s="57">
        <v>139.03899999999999</v>
      </c>
      <c r="L890" s="75">
        <v>0</v>
      </c>
      <c r="M890" s="75" t="s">
        <v>1</v>
      </c>
    </row>
    <row r="891" spans="1:13" x14ac:dyDescent="0.2">
      <c r="A891" s="54">
        <v>890</v>
      </c>
      <c r="B891" s="57">
        <v>709</v>
      </c>
      <c r="C891" s="57" t="s">
        <v>3111</v>
      </c>
      <c r="D891" s="59" t="s">
        <v>915</v>
      </c>
      <c r="E891" s="57" t="s">
        <v>704</v>
      </c>
      <c r="F891" s="57">
        <v>302.10480000000001</v>
      </c>
      <c r="G891" s="57">
        <v>19.366900000000001</v>
      </c>
      <c r="H891" s="57">
        <v>166.0943</v>
      </c>
      <c r="I891" s="57">
        <v>165.09100000000001</v>
      </c>
      <c r="J891" s="57">
        <v>173.09610000000001</v>
      </c>
      <c r="K891" s="57">
        <v>164.08320000000001</v>
      </c>
      <c r="L891" s="75" t="s">
        <v>703</v>
      </c>
      <c r="M891" s="75" t="s">
        <v>703</v>
      </c>
    </row>
    <row r="892" spans="1:13" x14ac:dyDescent="0.2">
      <c r="A892" s="54">
        <v>891</v>
      </c>
      <c r="B892" s="57">
        <v>710</v>
      </c>
      <c r="C892" s="57" t="s">
        <v>2427</v>
      </c>
      <c r="D892" s="59" t="s">
        <v>3175</v>
      </c>
      <c r="E892" s="57" t="s">
        <v>347</v>
      </c>
      <c r="F892" s="57">
        <v>445.71519999999998</v>
      </c>
      <c r="G892" s="57">
        <v>8.7257999999999996</v>
      </c>
      <c r="H892" s="57">
        <v>329.77100000000002</v>
      </c>
      <c r="I892" s="57">
        <v>331.76889999999997</v>
      </c>
      <c r="J892" s="57">
        <v>300.76819999999998</v>
      </c>
      <c r="K892" s="57">
        <v>289.87599999999998</v>
      </c>
      <c r="L892" s="75" t="s">
        <v>346</v>
      </c>
      <c r="M892" s="75" t="s">
        <v>346</v>
      </c>
    </row>
    <row r="893" spans="1:13" x14ac:dyDescent="0.2">
      <c r="A893" s="54">
        <v>892</v>
      </c>
      <c r="B893" s="57" t="s">
        <v>1</v>
      </c>
      <c r="C893" s="57" t="s">
        <v>2428</v>
      </c>
      <c r="D893" s="59" t="s">
        <v>1</v>
      </c>
      <c r="E893" s="57" t="s">
        <v>1</v>
      </c>
      <c r="F893" s="57" t="s">
        <v>1</v>
      </c>
      <c r="G893" s="57">
        <v>5.6609999999999996</v>
      </c>
      <c r="H893" s="57">
        <v>329.77100000000002</v>
      </c>
      <c r="I893" s="57">
        <v>331.76889999999997</v>
      </c>
      <c r="J893" s="57">
        <v>300.76819999999998</v>
      </c>
      <c r="K893" s="57">
        <v>289.87599999999998</v>
      </c>
      <c r="L893" s="75">
        <v>0</v>
      </c>
      <c r="M893" s="75" t="s">
        <v>1</v>
      </c>
    </row>
    <row r="1711" spans="16:16" x14ac:dyDescent="0.2">
      <c r="P1711"/>
    </row>
    <row r="1712" spans="16:16" x14ac:dyDescent="0.2">
      <c r="P1712"/>
    </row>
    <row r="1713" spans="16:16" x14ac:dyDescent="0.2">
      <c r="P1713"/>
    </row>
    <row r="1714" spans="16:16" x14ac:dyDescent="0.2">
      <c r="P1714"/>
    </row>
    <row r="1715" spans="16:16" x14ac:dyDescent="0.2">
      <c r="P1715"/>
    </row>
    <row r="1716" spans="16:16" x14ac:dyDescent="0.2">
      <c r="P1716"/>
    </row>
    <row r="1717" spans="16:16" x14ac:dyDescent="0.2">
      <c r="P1717"/>
    </row>
    <row r="1718" spans="16:16" x14ac:dyDescent="0.2">
      <c r="P1718"/>
    </row>
    <row r="1719" spans="16:16" x14ac:dyDescent="0.2">
      <c r="P1719"/>
    </row>
    <row r="1720" spans="16:16" x14ac:dyDescent="0.2">
      <c r="P1720"/>
    </row>
    <row r="1721" spans="16:16" x14ac:dyDescent="0.2">
      <c r="P1721"/>
    </row>
    <row r="1722" spans="16:16" x14ac:dyDescent="0.2">
      <c r="P1722"/>
    </row>
    <row r="1723" spans="16:16" x14ac:dyDescent="0.2">
      <c r="P1723"/>
    </row>
    <row r="1724" spans="16:16" x14ac:dyDescent="0.2">
      <c r="P1724"/>
    </row>
    <row r="1725" spans="16:16" x14ac:dyDescent="0.2">
      <c r="P1725"/>
    </row>
    <row r="1726" spans="16:16" x14ac:dyDescent="0.2">
      <c r="P1726"/>
    </row>
    <row r="1727" spans="16:16" x14ac:dyDescent="0.2">
      <c r="P1727"/>
    </row>
    <row r="1728" spans="16:16" x14ac:dyDescent="0.2">
      <c r="P1728"/>
    </row>
    <row r="1729" spans="16:16" x14ac:dyDescent="0.2">
      <c r="P1729"/>
    </row>
    <row r="1730" spans="16:16" x14ac:dyDescent="0.2">
      <c r="P1730"/>
    </row>
    <row r="1731" spans="16:16" x14ac:dyDescent="0.2">
      <c r="P1731"/>
    </row>
    <row r="1732" spans="16:16" x14ac:dyDescent="0.2">
      <c r="P1732"/>
    </row>
    <row r="1733" spans="16:16" x14ac:dyDescent="0.2">
      <c r="P1733"/>
    </row>
    <row r="1734" spans="16:16" x14ac:dyDescent="0.2">
      <c r="P1734"/>
    </row>
    <row r="1735" spans="16:16" x14ac:dyDescent="0.2">
      <c r="P1735"/>
    </row>
    <row r="1736" spans="16:16" x14ac:dyDescent="0.2">
      <c r="P1736"/>
    </row>
    <row r="1737" spans="16:16" x14ac:dyDescent="0.2">
      <c r="P1737"/>
    </row>
    <row r="1738" spans="16:16" x14ac:dyDescent="0.2">
      <c r="P1738"/>
    </row>
    <row r="1739" spans="16:16" x14ac:dyDescent="0.2">
      <c r="P1739"/>
    </row>
    <row r="1740" spans="16:16" x14ac:dyDescent="0.2">
      <c r="P1740"/>
    </row>
    <row r="1741" spans="16:16" x14ac:dyDescent="0.2">
      <c r="P1741"/>
    </row>
    <row r="1742" spans="16:16" x14ac:dyDescent="0.2">
      <c r="P1742"/>
    </row>
    <row r="1743" spans="16:16" x14ac:dyDescent="0.2">
      <c r="P1743"/>
    </row>
    <row r="1744" spans="16:16" x14ac:dyDescent="0.2">
      <c r="P1744"/>
    </row>
    <row r="1745" spans="16:16" x14ac:dyDescent="0.2">
      <c r="P1745"/>
    </row>
    <row r="1746" spans="16:16" x14ac:dyDescent="0.2">
      <c r="P1746"/>
    </row>
    <row r="1747" spans="16:16" x14ac:dyDescent="0.2">
      <c r="P1747"/>
    </row>
    <row r="1748" spans="16:16" x14ac:dyDescent="0.2">
      <c r="P1748"/>
    </row>
    <row r="1749" spans="16:16" x14ac:dyDescent="0.2">
      <c r="P1749"/>
    </row>
    <row r="1750" spans="16:16" x14ac:dyDescent="0.2">
      <c r="P1750"/>
    </row>
    <row r="1751" spans="16:16" x14ac:dyDescent="0.2">
      <c r="P1751"/>
    </row>
    <row r="1752" spans="16:16" x14ac:dyDescent="0.2">
      <c r="P1752"/>
    </row>
    <row r="1753" spans="16:16" x14ac:dyDescent="0.2">
      <c r="P1753"/>
    </row>
    <row r="1754" spans="16:16" x14ac:dyDescent="0.2">
      <c r="P1754"/>
    </row>
    <row r="1755" spans="16:16" x14ac:dyDescent="0.2">
      <c r="P1755"/>
    </row>
    <row r="1756" spans="16:16" x14ac:dyDescent="0.2">
      <c r="P1756"/>
    </row>
    <row r="1757" spans="16:16" x14ac:dyDescent="0.2">
      <c r="P1757"/>
    </row>
    <row r="1758" spans="16:16" x14ac:dyDescent="0.2">
      <c r="P1758"/>
    </row>
    <row r="1759" spans="16:16" x14ac:dyDescent="0.2">
      <c r="P1759"/>
    </row>
    <row r="1760" spans="16:16" x14ac:dyDescent="0.2">
      <c r="P1760"/>
    </row>
    <row r="1761" spans="16:16" x14ac:dyDescent="0.2">
      <c r="P1761"/>
    </row>
    <row r="1762" spans="16:16" x14ac:dyDescent="0.2">
      <c r="P1762"/>
    </row>
    <row r="1763" spans="16:16" x14ac:dyDescent="0.2">
      <c r="P1763"/>
    </row>
    <row r="1764" spans="16:16" x14ac:dyDescent="0.2">
      <c r="P1764"/>
    </row>
    <row r="1765" spans="16:16" x14ac:dyDescent="0.2">
      <c r="P1765"/>
    </row>
    <row r="1766" spans="16:16" x14ac:dyDescent="0.2">
      <c r="P1766"/>
    </row>
    <row r="1767" spans="16:16" x14ac:dyDescent="0.2">
      <c r="P1767"/>
    </row>
    <row r="1768" spans="16:16" x14ac:dyDescent="0.2">
      <c r="P1768"/>
    </row>
    <row r="1769" spans="16:16" x14ac:dyDescent="0.2">
      <c r="P1769"/>
    </row>
    <row r="1770" spans="16:16" x14ac:dyDescent="0.2">
      <c r="P1770"/>
    </row>
    <row r="1771" spans="16:16" x14ac:dyDescent="0.2">
      <c r="P1771"/>
    </row>
    <row r="1772" spans="16:16" x14ac:dyDescent="0.2">
      <c r="P1772"/>
    </row>
    <row r="1773" spans="16:16" x14ac:dyDescent="0.2">
      <c r="P1773"/>
    </row>
    <row r="1774" spans="16:16" x14ac:dyDescent="0.2">
      <c r="P1774"/>
    </row>
    <row r="1775" spans="16:16" x14ac:dyDescent="0.2">
      <c r="P1775"/>
    </row>
    <row r="1776" spans="16:16" x14ac:dyDescent="0.2">
      <c r="P1776"/>
    </row>
    <row r="1777" spans="16:16" x14ac:dyDescent="0.2">
      <c r="P1777"/>
    </row>
    <row r="1778" spans="16:16" x14ac:dyDescent="0.2">
      <c r="P1778"/>
    </row>
    <row r="1779" spans="16:16" x14ac:dyDescent="0.2">
      <c r="P1779"/>
    </row>
    <row r="1780" spans="16:16" x14ac:dyDescent="0.2">
      <c r="P1780"/>
    </row>
    <row r="1781" spans="16:16" x14ac:dyDescent="0.2">
      <c r="P1781"/>
    </row>
    <row r="1782" spans="16:16" x14ac:dyDescent="0.2">
      <c r="P1782"/>
    </row>
    <row r="1783" spans="16:16" x14ac:dyDescent="0.2">
      <c r="P1783"/>
    </row>
    <row r="1784" spans="16:16" x14ac:dyDescent="0.2">
      <c r="P1784"/>
    </row>
    <row r="1785" spans="16:16" x14ac:dyDescent="0.2">
      <c r="P1785"/>
    </row>
    <row r="1786" spans="16:16" x14ac:dyDescent="0.2">
      <c r="P1786"/>
    </row>
    <row r="1787" spans="16:16" x14ac:dyDescent="0.2">
      <c r="P1787"/>
    </row>
    <row r="1788" spans="16:16" x14ac:dyDescent="0.2">
      <c r="P1788"/>
    </row>
    <row r="1789" spans="16:16" x14ac:dyDescent="0.2">
      <c r="P1789"/>
    </row>
    <row r="1790" spans="16:16" x14ac:dyDescent="0.2">
      <c r="P1790"/>
    </row>
    <row r="1791" spans="16:16" x14ac:dyDescent="0.2">
      <c r="P1791"/>
    </row>
    <row r="1792" spans="16:16" x14ac:dyDescent="0.2">
      <c r="P1792"/>
    </row>
    <row r="1793" spans="16:16" x14ac:dyDescent="0.2">
      <c r="P1793"/>
    </row>
    <row r="1794" spans="16:16" x14ac:dyDescent="0.2">
      <c r="P1794"/>
    </row>
    <row r="1795" spans="16:16" x14ac:dyDescent="0.2">
      <c r="P1795"/>
    </row>
    <row r="1796" spans="16:16" x14ac:dyDescent="0.2">
      <c r="P1796"/>
    </row>
    <row r="1797" spans="16:16" x14ac:dyDescent="0.2">
      <c r="P1797"/>
    </row>
    <row r="1798" spans="16:16" x14ac:dyDescent="0.2">
      <c r="P1798"/>
    </row>
    <row r="1799" spans="16:16" x14ac:dyDescent="0.2">
      <c r="P1799"/>
    </row>
    <row r="1800" spans="16:16" x14ac:dyDescent="0.2">
      <c r="P1800"/>
    </row>
    <row r="1801" spans="16:16" x14ac:dyDescent="0.2">
      <c r="P1801"/>
    </row>
    <row r="1802" spans="16:16" x14ac:dyDescent="0.2">
      <c r="P1802"/>
    </row>
    <row r="1803" spans="16:16" x14ac:dyDescent="0.2">
      <c r="P1803"/>
    </row>
    <row r="1804" spans="16:16" x14ac:dyDescent="0.2">
      <c r="P1804"/>
    </row>
    <row r="1805" spans="16:16" x14ac:dyDescent="0.2">
      <c r="P1805"/>
    </row>
    <row r="1806" spans="16:16" x14ac:dyDescent="0.2">
      <c r="P1806"/>
    </row>
    <row r="1807" spans="16:16" x14ac:dyDescent="0.2">
      <c r="P1807"/>
    </row>
    <row r="1808" spans="16:16" x14ac:dyDescent="0.2">
      <c r="P1808"/>
    </row>
    <row r="1809" spans="16:16" x14ac:dyDescent="0.2">
      <c r="P1809"/>
    </row>
    <row r="1810" spans="16:16" x14ac:dyDescent="0.2">
      <c r="P1810"/>
    </row>
    <row r="1811" spans="16:16" x14ac:dyDescent="0.2">
      <c r="P1811"/>
    </row>
    <row r="1812" spans="16:16" x14ac:dyDescent="0.2">
      <c r="P1812"/>
    </row>
    <row r="1813" spans="16:16" x14ac:dyDescent="0.2">
      <c r="P1813"/>
    </row>
    <row r="1814" spans="16:16" x14ac:dyDescent="0.2">
      <c r="P1814"/>
    </row>
    <row r="1815" spans="16:16" x14ac:dyDescent="0.2">
      <c r="P1815"/>
    </row>
    <row r="1816" spans="16:16" x14ac:dyDescent="0.2">
      <c r="P1816"/>
    </row>
    <row r="1817" spans="16:16" x14ac:dyDescent="0.2">
      <c r="P1817"/>
    </row>
    <row r="1818" spans="16:16" x14ac:dyDescent="0.2">
      <c r="P1818"/>
    </row>
    <row r="1819" spans="16:16" x14ac:dyDescent="0.2">
      <c r="P1819"/>
    </row>
    <row r="1820" spans="16:16" x14ac:dyDescent="0.2">
      <c r="P1820"/>
    </row>
    <row r="1821" spans="16:16" x14ac:dyDescent="0.2">
      <c r="P1821"/>
    </row>
    <row r="1822" spans="16:16" x14ac:dyDescent="0.2">
      <c r="P1822"/>
    </row>
    <row r="1823" spans="16:16" x14ac:dyDescent="0.2">
      <c r="P1823"/>
    </row>
    <row r="1824" spans="16:16" x14ac:dyDescent="0.2">
      <c r="P1824"/>
    </row>
    <row r="1825" spans="16:16" x14ac:dyDescent="0.2">
      <c r="P1825"/>
    </row>
    <row r="1826" spans="16:16" x14ac:dyDescent="0.2">
      <c r="P1826"/>
    </row>
    <row r="1827" spans="16:16" x14ac:dyDescent="0.2">
      <c r="P1827"/>
    </row>
    <row r="1828" spans="16:16" x14ac:dyDescent="0.2">
      <c r="P1828"/>
    </row>
    <row r="1829" spans="16:16" x14ac:dyDescent="0.2">
      <c r="P1829"/>
    </row>
    <row r="1830" spans="16:16" x14ac:dyDescent="0.2">
      <c r="P1830"/>
    </row>
    <row r="1831" spans="16:16" x14ac:dyDescent="0.2">
      <c r="P1831"/>
    </row>
    <row r="1832" spans="16:16" x14ac:dyDescent="0.2">
      <c r="P1832"/>
    </row>
    <row r="1833" spans="16:16" x14ac:dyDescent="0.2">
      <c r="P1833"/>
    </row>
    <row r="1834" spans="16:16" x14ac:dyDescent="0.2">
      <c r="P1834"/>
    </row>
    <row r="1835" spans="16:16" x14ac:dyDescent="0.2">
      <c r="P1835"/>
    </row>
    <row r="1836" spans="16:16" x14ac:dyDescent="0.2">
      <c r="P1836"/>
    </row>
    <row r="1837" spans="16:16" x14ac:dyDescent="0.2">
      <c r="P1837"/>
    </row>
    <row r="1838" spans="16:16" x14ac:dyDescent="0.2">
      <c r="P1838"/>
    </row>
    <row r="1839" spans="16:16" x14ac:dyDescent="0.2">
      <c r="P1839"/>
    </row>
    <row r="1840" spans="16:16" x14ac:dyDescent="0.2">
      <c r="P1840"/>
    </row>
    <row r="1841" spans="16:16" x14ac:dyDescent="0.2">
      <c r="P1841"/>
    </row>
    <row r="1842" spans="16:16" x14ac:dyDescent="0.2">
      <c r="P1842"/>
    </row>
    <row r="1843" spans="16:16" x14ac:dyDescent="0.2">
      <c r="P1843"/>
    </row>
    <row r="1844" spans="16:16" x14ac:dyDescent="0.2">
      <c r="P1844"/>
    </row>
    <row r="1845" spans="16:16" x14ac:dyDescent="0.2">
      <c r="P1845"/>
    </row>
    <row r="1846" spans="16:16" x14ac:dyDescent="0.2">
      <c r="P1846"/>
    </row>
    <row r="1847" spans="16:16" x14ac:dyDescent="0.2">
      <c r="P1847"/>
    </row>
    <row r="1848" spans="16:16" x14ac:dyDescent="0.2">
      <c r="P1848"/>
    </row>
    <row r="1849" spans="16:16" x14ac:dyDescent="0.2">
      <c r="P1849"/>
    </row>
    <row r="1850" spans="16:16" x14ac:dyDescent="0.2">
      <c r="P1850"/>
    </row>
    <row r="1851" spans="16:16" x14ac:dyDescent="0.2">
      <c r="P1851"/>
    </row>
    <row r="1852" spans="16:16" x14ac:dyDescent="0.2">
      <c r="P1852"/>
    </row>
    <row r="1853" spans="16:16" x14ac:dyDescent="0.2">
      <c r="P1853"/>
    </row>
    <row r="1854" spans="16:16" x14ac:dyDescent="0.2">
      <c r="P1854"/>
    </row>
    <row r="1855" spans="16:16" x14ac:dyDescent="0.2">
      <c r="P1855"/>
    </row>
    <row r="1856" spans="16:16" x14ac:dyDescent="0.2">
      <c r="P1856"/>
    </row>
    <row r="1857" spans="16:16" x14ac:dyDescent="0.2">
      <c r="P1857"/>
    </row>
    <row r="1858" spans="16:16" x14ac:dyDescent="0.2">
      <c r="P1858"/>
    </row>
    <row r="1859" spans="16:16" x14ac:dyDescent="0.2">
      <c r="P1859"/>
    </row>
    <row r="1860" spans="16:16" x14ac:dyDescent="0.2">
      <c r="P1860"/>
    </row>
    <row r="1861" spans="16:16" x14ac:dyDescent="0.2">
      <c r="P1861"/>
    </row>
    <row r="1862" spans="16:16" x14ac:dyDescent="0.2">
      <c r="P1862"/>
    </row>
    <row r="1863" spans="16:16" x14ac:dyDescent="0.2">
      <c r="P1863"/>
    </row>
    <row r="1864" spans="16:16" x14ac:dyDescent="0.2">
      <c r="P1864"/>
    </row>
    <row r="1865" spans="16:16" x14ac:dyDescent="0.2">
      <c r="P1865"/>
    </row>
    <row r="1866" spans="16:16" x14ac:dyDescent="0.2">
      <c r="P1866"/>
    </row>
    <row r="1867" spans="16:16" x14ac:dyDescent="0.2">
      <c r="P1867"/>
    </row>
    <row r="1868" spans="16:16" x14ac:dyDescent="0.2">
      <c r="P1868"/>
    </row>
    <row r="1869" spans="16:16" x14ac:dyDescent="0.2">
      <c r="P1869"/>
    </row>
    <row r="1870" spans="16:16" x14ac:dyDescent="0.2">
      <c r="P1870"/>
    </row>
    <row r="1871" spans="16:16" x14ac:dyDescent="0.2">
      <c r="P1871"/>
    </row>
    <row r="1872" spans="16:16" x14ac:dyDescent="0.2">
      <c r="P1872"/>
    </row>
    <row r="1873" spans="16:16" x14ac:dyDescent="0.2">
      <c r="P1873"/>
    </row>
    <row r="1874" spans="16:16" x14ac:dyDescent="0.2">
      <c r="P1874"/>
    </row>
    <row r="1875" spans="16:16" x14ac:dyDescent="0.2">
      <c r="P1875"/>
    </row>
    <row r="1876" spans="16:16" x14ac:dyDescent="0.2">
      <c r="P1876"/>
    </row>
    <row r="1877" spans="16:16" x14ac:dyDescent="0.2">
      <c r="P1877"/>
    </row>
    <row r="1878" spans="16:16" x14ac:dyDescent="0.2">
      <c r="P1878"/>
    </row>
    <row r="1879" spans="16:16" x14ac:dyDescent="0.2">
      <c r="P1879"/>
    </row>
    <row r="1880" spans="16:16" x14ac:dyDescent="0.2">
      <c r="P1880"/>
    </row>
    <row r="1881" spans="16:16" x14ac:dyDescent="0.2">
      <c r="P1881"/>
    </row>
    <row r="1882" spans="16:16" x14ac:dyDescent="0.2">
      <c r="P1882"/>
    </row>
    <row r="1883" spans="16:16" x14ac:dyDescent="0.2">
      <c r="P1883"/>
    </row>
    <row r="1884" spans="16:16" x14ac:dyDescent="0.2">
      <c r="P1884"/>
    </row>
    <row r="1885" spans="16:16" x14ac:dyDescent="0.2">
      <c r="P1885"/>
    </row>
    <row r="1886" spans="16:16" x14ac:dyDescent="0.2">
      <c r="P1886"/>
    </row>
    <row r="1887" spans="16:16" x14ac:dyDescent="0.2">
      <c r="P1887"/>
    </row>
    <row r="1888" spans="16:16" x14ac:dyDescent="0.2">
      <c r="P1888"/>
    </row>
    <row r="1889" spans="16:16" x14ac:dyDescent="0.2">
      <c r="P1889"/>
    </row>
    <row r="1890" spans="16:16" x14ac:dyDescent="0.2">
      <c r="P1890"/>
    </row>
    <row r="1891" spans="16:16" x14ac:dyDescent="0.2">
      <c r="P1891"/>
    </row>
    <row r="1892" spans="16:16" x14ac:dyDescent="0.2">
      <c r="P1892"/>
    </row>
    <row r="1893" spans="16:16" x14ac:dyDescent="0.2">
      <c r="P1893"/>
    </row>
    <row r="1894" spans="16:16" x14ac:dyDescent="0.2">
      <c r="P1894"/>
    </row>
    <row r="1895" spans="16:16" x14ac:dyDescent="0.2">
      <c r="P1895"/>
    </row>
    <row r="1896" spans="16:16" x14ac:dyDescent="0.2">
      <c r="P1896"/>
    </row>
    <row r="1897" spans="16:16" x14ac:dyDescent="0.2">
      <c r="P1897"/>
    </row>
    <row r="1898" spans="16:16" x14ac:dyDescent="0.2">
      <c r="P1898"/>
    </row>
    <row r="1899" spans="16:16" x14ac:dyDescent="0.2">
      <c r="P1899"/>
    </row>
    <row r="1900" spans="16:16" x14ac:dyDescent="0.2">
      <c r="P1900"/>
    </row>
    <row r="1901" spans="16:16" x14ac:dyDescent="0.2">
      <c r="P1901"/>
    </row>
    <row r="1902" spans="16:16" x14ac:dyDescent="0.2">
      <c r="P1902"/>
    </row>
    <row r="1903" spans="16:16" x14ac:dyDescent="0.2">
      <c r="P1903"/>
    </row>
    <row r="1904" spans="16:16" x14ac:dyDescent="0.2">
      <c r="P1904"/>
    </row>
    <row r="1905" spans="16:16" x14ac:dyDescent="0.2">
      <c r="P1905"/>
    </row>
    <row r="1906" spans="16:16" x14ac:dyDescent="0.2">
      <c r="P1906"/>
    </row>
    <row r="1907" spans="16:16" x14ac:dyDescent="0.2">
      <c r="P1907"/>
    </row>
    <row r="1908" spans="16:16" x14ac:dyDescent="0.2">
      <c r="P1908"/>
    </row>
    <row r="1909" spans="16:16" x14ac:dyDescent="0.2">
      <c r="P1909"/>
    </row>
    <row r="1910" spans="16:16" x14ac:dyDescent="0.2">
      <c r="P1910"/>
    </row>
    <row r="1911" spans="16:16" x14ac:dyDescent="0.2">
      <c r="P1911"/>
    </row>
    <row r="1912" spans="16:16" x14ac:dyDescent="0.2">
      <c r="P1912"/>
    </row>
    <row r="1913" spans="16:16" x14ac:dyDescent="0.2">
      <c r="P1913"/>
    </row>
    <row r="1914" spans="16:16" x14ac:dyDescent="0.2">
      <c r="P1914"/>
    </row>
    <row r="1915" spans="16:16" x14ac:dyDescent="0.2">
      <c r="P1915"/>
    </row>
    <row r="1916" spans="16:16" x14ac:dyDescent="0.2">
      <c r="P1916"/>
    </row>
    <row r="1917" spans="16:16" x14ac:dyDescent="0.2">
      <c r="P1917"/>
    </row>
    <row r="1918" spans="16:16" x14ac:dyDescent="0.2">
      <c r="P1918"/>
    </row>
    <row r="1919" spans="16:16" x14ac:dyDescent="0.2">
      <c r="P1919"/>
    </row>
    <row r="1920" spans="16:16" x14ac:dyDescent="0.2">
      <c r="P1920"/>
    </row>
    <row r="1921" spans="16:16" x14ac:dyDescent="0.2">
      <c r="P1921"/>
    </row>
    <row r="1922" spans="16:16" x14ac:dyDescent="0.2">
      <c r="P1922"/>
    </row>
    <row r="1923" spans="16:16" x14ac:dyDescent="0.2">
      <c r="P1923"/>
    </row>
    <row r="1924" spans="16:16" x14ac:dyDescent="0.2">
      <c r="P1924"/>
    </row>
    <row r="1925" spans="16:16" x14ac:dyDescent="0.2">
      <c r="P1925"/>
    </row>
    <row r="1926" spans="16:16" x14ac:dyDescent="0.2">
      <c r="P1926"/>
    </row>
    <row r="1927" spans="16:16" x14ac:dyDescent="0.2">
      <c r="P1927"/>
    </row>
    <row r="1928" spans="16:16" x14ac:dyDescent="0.2">
      <c r="P1928"/>
    </row>
    <row r="1929" spans="16:16" x14ac:dyDescent="0.2">
      <c r="P1929"/>
    </row>
    <row r="1930" spans="16:16" x14ac:dyDescent="0.2">
      <c r="P1930"/>
    </row>
    <row r="1931" spans="16:16" x14ac:dyDescent="0.2">
      <c r="P1931"/>
    </row>
    <row r="1932" spans="16:16" x14ac:dyDescent="0.2">
      <c r="P1932"/>
    </row>
    <row r="1933" spans="16:16" x14ac:dyDescent="0.2">
      <c r="P1933"/>
    </row>
    <row r="1934" spans="16:16" x14ac:dyDescent="0.2">
      <c r="P1934"/>
    </row>
    <row r="1935" spans="16:16" x14ac:dyDescent="0.2">
      <c r="P1935"/>
    </row>
    <row r="1936" spans="16:16" x14ac:dyDescent="0.2">
      <c r="P1936"/>
    </row>
    <row r="1937" spans="16:16" x14ac:dyDescent="0.2">
      <c r="P1937"/>
    </row>
    <row r="1938" spans="16:16" x14ac:dyDescent="0.2">
      <c r="P1938"/>
    </row>
    <row r="1939" spans="16:16" x14ac:dyDescent="0.2">
      <c r="P1939"/>
    </row>
    <row r="1940" spans="16:16" x14ac:dyDescent="0.2">
      <c r="P1940"/>
    </row>
    <row r="1941" spans="16:16" x14ac:dyDescent="0.2">
      <c r="P1941"/>
    </row>
    <row r="1942" spans="16:16" x14ac:dyDescent="0.2">
      <c r="P1942"/>
    </row>
    <row r="1943" spans="16:16" x14ac:dyDescent="0.2">
      <c r="P1943"/>
    </row>
    <row r="1944" spans="16:16" x14ac:dyDescent="0.2">
      <c r="P1944"/>
    </row>
    <row r="1945" spans="16:16" x14ac:dyDescent="0.2">
      <c r="P1945"/>
    </row>
    <row r="1946" spans="16:16" x14ac:dyDescent="0.2">
      <c r="P1946"/>
    </row>
    <row r="1947" spans="16:16" x14ac:dyDescent="0.2">
      <c r="P1947"/>
    </row>
    <row r="1948" spans="16:16" x14ac:dyDescent="0.2">
      <c r="P1948"/>
    </row>
    <row r="1949" spans="16:16" x14ac:dyDescent="0.2">
      <c r="P1949"/>
    </row>
    <row r="1950" spans="16:16" x14ac:dyDescent="0.2">
      <c r="P1950"/>
    </row>
    <row r="1951" spans="16:16" x14ac:dyDescent="0.2">
      <c r="P1951"/>
    </row>
    <row r="1952" spans="16:16" x14ac:dyDescent="0.2">
      <c r="P1952"/>
    </row>
    <row r="1953" spans="16:16" x14ac:dyDescent="0.2">
      <c r="P1953"/>
    </row>
    <row r="1954" spans="16:16" x14ac:dyDescent="0.2">
      <c r="P1954"/>
    </row>
    <row r="1955" spans="16:16" x14ac:dyDescent="0.2">
      <c r="P1955"/>
    </row>
    <row r="1956" spans="16:16" x14ac:dyDescent="0.2">
      <c r="P1956"/>
    </row>
    <row r="1957" spans="16:16" x14ac:dyDescent="0.2">
      <c r="P1957"/>
    </row>
    <row r="1958" spans="16:16" x14ac:dyDescent="0.2">
      <c r="P1958"/>
    </row>
    <row r="1959" spans="16:16" x14ac:dyDescent="0.2">
      <c r="P1959"/>
    </row>
    <row r="1960" spans="16:16" x14ac:dyDescent="0.2">
      <c r="P1960"/>
    </row>
    <row r="1961" spans="16:16" x14ac:dyDescent="0.2">
      <c r="P1961"/>
    </row>
    <row r="1962" spans="16:16" x14ac:dyDescent="0.2">
      <c r="P1962"/>
    </row>
    <row r="1963" spans="16:16" x14ac:dyDescent="0.2">
      <c r="P1963"/>
    </row>
    <row r="1964" spans="16:16" x14ac:dyDescent="0.2">
      <c r="P1964"/>
    </row>
    <row r="1965" spans="16:16" x14ac:dyDescent="0.2">
      <c r="P1965"/>
    </row>
    <row r="1966" spans="16:16" x14ac:dyDescent="0.2">
      <c r="P1966"/>
    </row>
    <row r="1967" spans="16:16" x14ac:dyDescent="0.2">
      <c r="P1967"/>
    </row>
    <row r="1968" spans="16:16" x14ac:dyDescent="0.2">
      <c r="P1968"/>
    </row>
    <row r="1969" spans="16:16" x14ac:dyDescent="0.2">
      <c r="P1969"/>
    </row>
    <row r="1970" spans="16:16" x14ac:dyDescent="0.2">
      <c r="P1970"/>
    </row>
    <row r="1971" spans="16:16" x14ac:dyDescent="0.2">
      <c r="P1971"/>
    </row>
    <row r="1972" spans="16:16" x14ac:dyDescent="0.2">
      <c r="P1972"/>
    </row>
    <row r="1973" spans="16:16" x14ac:dyDescent="0.2">
      <c r="P1973"/>
    </row>
    <row r="1974" spans="16:16" x14ac:dyDescent="0.2">
      <c r="P1974"/>
    </row>
    <row r="1975" spans="16:16" x14ac:dyDescent="0.2">
      <c r="P1975"/>
    </row>
    <row r="1976" spans="16:16" x14ac:dyDescent="0.2">
      <c r="P1976"/>
    </row>
    <row r="1977" spans="16:16" x14ac:dyDescent="0.2">
      <c r="P1977"/>
    </row>
    <row r="1978" spans="16:16" x14ac:dyDescent="0.2">
      <c r="P1978"/>
    </row>
    <row r="1979" spans="16:16" x14ac:dyDescent="0.2">
      <c r="P1979"/>
    </row>
    <row r="1980" spans="16:16" x14ac:dyDescent="0.2">
      <c r="P1980"/>
    </row>
    <row r="1981" spans="16:16" x14ac:dyDescent="0.2">
      <c r="P1981"/>
    </row>
    <row r="1982" spans="16:16" x14ac:dyDescent="0.2">
      <c r="P1982"/>
    </row>
    <row r="1983" spans="16:16" x14ac:dyDescent="0.2">
      <c r="P1983"/>
    </row>
    <row r="1984" spans="16:16" x14ac:dyDescent="0.2">
      <c r="P1984"/>
    </row>
    <row r="1985" spans="16:16" x14ac:dyDescent="0.2">
      <c r="P1985"/>
    </row>
    <row r="1986" spans="16:16" x14ac:dyDescent="0.2">
      <c r="P1986"/>
    </row>
    <row r="1987" spans="16:16" x14ac:dyDescent="0.2">
      <c r="P1987"/>
    </row>
    <row r="1988" spans="16:16" x14ac:dyDescent="0.2">
      <c r="P1988"/>
    </row>
    <row r="1989" spans="16:16" x14ac:dyDescent="0.2">
      <c r="P1989"/>
    </row>
    <row r="1990" spans="16:16" x14ac:dyDescent="0.2">
      <c r="P1990"/>
    </row>
    <row r="1991" spans="16:16" x14ac:dyDescent="0.2">
      <c r="P1991"/>
    </row>
  </sheetData>
  <autoFilter ref="A1:M893" xr:uid="{608974E0-D226-7149-8260-1391A8262D70}">
    <sortState xmlns:xlrd2="http://schemas.microsoft.com/office/spreadsheetml/2017/richdata2" ref="A2:M893">
      <sortCondition ref="A1:A8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D321-FCC4-8C4D-A3AA-4DF199BE1BB5}">
  <dimension ref="A1:O535"/>
  <sheetViews>
    <sheetView topLeftCell="A343" zoomScale="175" zoomScaleNormal="160" workbookViewId="0">
      <selection activeCell="A370" sqref="A370"/>
    </sheetView>
  </sheetViews>
  <sheetFormatPr baseColWidth="10" defaultRowHeight="16" x14ac:dyDescent="0.2"/>
  <cols>
    <col min="1" max="1" width="26.83203125" style="5" customWidth="1"/>
    <col min="2" max="2" width="8" style="10" customWidth="1"/>
    <col min="3" max="3" width="7.1640625" style="10" customWidth="1"/>
    <col min="4" max="4" width="15.83203125" style="71" customWidth="1"/>
    <col min="5" max="5" width="7.83203125" style="3" customWidth="1"/>
    <col min="6" max="8" width="6.6640625" style="3" customWidth="1"/>
    <col min="9" max="9" width="23.6640625" style="3" bestFit="1" customWidth="1"/>
    <col min="11" max="12" width="10.83203125" style="1"/>
    <col min="16" max="16384" width="10.83203125" style="1"/>
  </cols>
  <sheetData>
    <row r="1" spans="1:10" s="28" customFormat="1" ht="48" x14ac:dyDescent="0.15">
      <c r="A1" s="30" t="s">
        <v>3290</v>
      </c>
      <c r="B1" s="29" t="s">
        <v>998</v>
      </c>
      <c r="C1" s="29" t="s">
        <v>995</v>
      </c>
      <c r="D1" s="66" t="s">
        <v>1014</v>
      </c>
      <c r="E1" s="29" t="s">
        <v>1013</v>
      </c>
      <c r="F1" s="29" t="s">
        <v>1012</v>
      </c>
      <c r="G1" s="29" t="s">
        <v>1011</v>
      </c>
      <c r="H1" s="29" t="s">
        <v>1010</v>
      </c>
      <c r="I1" s="29" t="s">
        <v>1009</v>
      </c>
    </row>
    <row r="2" spans="1:10" x14ac:dyDescent="0.2">
      <c r="A2" s="26" t="s">
        <v>2720</v>
      </c>
      <c r="B2" s="25" t="s">
        <v>216</v>
      </c>
      <c r="C2" s="25">
        <v>101689439</v>
      </c>
      <c r="D2" s="67" t="s">
        <v>761</v>
      </c>
      <c r="E2" s="25">
        <v>1009.4062</v>
      </c>
      <c r="F2" s="25" t="s">
        <v>9</v>
      </c>
      <c r="G2" s="25" t="s">
        <v>9</v>
      </c>
      <c r="H2" s="25" t="s">
        <v>69</v>
      </c>
      <c r="I2" s="24" t="s">
        <v>47</v>
      </c>
      <c r="J2" s="27" t="s">
        <v>1005</v>
      </c>
    </row>
    <row r="3" spans="1:10" x14ac:dyDescent="0.2">
      <c r="A3" s="26" t="s">
        <v>2720</v>
      </c>
      <c r="B3" s="25" t="s">
        <v>216</v>
      </c>
      <c r="C3" s="25">
        <v>101689439</v>
      </c>
      <c r="D3" s="68" t="s">
        <v>534</v>
      </c>
      <c r="E3" s="25">
        <v>1009.4062</v>
      </c>
      <c r="F3" s="25" t="s">
        <v>9</v>
      </c>
      <c r="G3" s="25" t="s">
        <v>9</v>
      </c>
      <c r="H3" s="25" t="s">
        <v>69</v>
      </c>
      <c r="I3" s="24" t="s">
        <v>47</v>
      </c>
    </row>
    <row r="4" spans="1:10" ht="36" customHeight="1" x14ac:dyDescent="0.2">
      <c r="A4" s="14" t="s">
        <v>1001</v>
      </c>
      <c r="B4" s="8"/>
      <c r="C4" s="8"/>
      <c r="D4" s="69"/>
      <c r="E4" s="8"/>
      <c r="F4" s="8"/>
      <c r="G4" s="8"/>
      <c r="H4" s="8"/>
      <c r="I4" s="7"/>
    </row>
    <row r="5" spans="1:10" x14ac:dyDescent="0.2">
      <c r="A5" s="14" t="s">
        <v>999</v>
      </c>
      <c r="B5" s="10" t="s">
        <v>17</v>
      </c>
      <c r="D5" s="70"/>
      <c r="E5" s="10" t="s">
        <v>17</v>
      </c>
      <c r="F5" s="10"/>
      <c r="G5" s="10"/>
      <c r="H5" s="10" t="s">
        <v>17</v>
      </c>
    </row>
    <row r="6" spans="1:10" x14ac:dyDescent="0.2">
      <c r="A6" s="14" t="s">
        <v>996</v>
      </c>
      <c r="B6" s="8"/>
      <c r="C6" s="8"/>
      <c r="D6" s="69"/>
      <c r="E6" s="8"/>
      <c r="F6" s="10"/>
      <c r="G6" s="10"/>
      <c r="H6" s="10"/>
      <c r="I6" s="7"/>
      <c r="J6" s="1"/>
    </row>
    <row r="7" spans="1:10" x14ac:dyDescent="0.2">
      <c r="A7" s="11" t="s">
        <v>993</v>
      </c>
      <c r="B7" s="10" t="s">
        <v>17</v>
      </c>
      <c r="D7" s="71" t="s">
        <v>17</v>
      </c>
      <c r="E7" s="10" t="s">
        <v>17</v>
      </c>
      <c r="F7" s="10"/>
      <c r="G7" s="10"/>
      <c r="H7" s="10" t="s">
        <v>17</v>
      </c>
      <c r="J7" s="1"/>
    </row>
    <row r="8" spans="1:10" x14ac:dyDescent="0.2">
      <c r="A8" s="9" t="s">
        <v>2061</v>
      </c>
      <c r="B8" s="8" t="s">
        <v>991</v>
      </c>
      <c r="C8" s="8">
        <v>86367</v>
      </c>
      <c r="D8" s="69" t="s">
        <v>400</v>
      </c>
      <c r="E8" s="8">
        <v>225.1266</v>
      </c>
      <c r="F8" s="8" t="s">
        <v>9</v>
      </c>
      <c r="G8" s="8" t="s">
        <v>1</v>
      </c>
      <c r="H8" s="8" t="s">
        <v>1</v>
      </c>
      <c r="I8" s="7" t="s">
        <v>0</v>
      </c>
      <c r="J8" s="1"/>
    </row>
    <row r="9" spans="1:10" x14ac:dyDescent="0.2">
      <c r="A9" s="9" t="s">
        <v>1224</v>
      </c>
      <c r="B9" s="8" t="s">
        <v>988</v>
      </c>
      <c r="C9" s="8">
        <v>91650</v>
      </c>
      <c r="D9" s="69" t="s">
        <v>987</v>
      </c>
      <c r="E9" s="8">
        <v>199.11089999999999</v>
      </c>
      <c r="F9" s="8" t="s">
        <v>9</v>
      </c>
      <c r="G9" s="8" t="s">
        <v>1</v>
      </c>
      <c r="H9" s="8" t="s">
        <v>1</v>
      </c>
      <c r="I9" s="7" t="s">
        <v>0</v>
      </c>
      <c r="J9" s="1"/>
    </row>
    <row r="10" spans="1:10" x14ac:dyDescent="0.2">
      <c r="A10" s="11" t="s">
        <v>984</v>
      </c>
      <c r="B10" s="10" t="s">
        <v>17</v>
      </c>
      <c r="C10" s="8" t="s">
        <v>17</v>
      </c>
      <c r="D10" s="69" t="s">
        <v>17</v>
      </c>
      <c r="E10" s="10" t="s">
        <v>17</v>
      </c>
      <c r="F10" s="8" t="s">
        <v>17</v>
      </c>
      <c r="G10" s="8" t="s">
        <v>17</v>
      </c>
      <c r="H10" s="10" t="s">
        <v>17</v>
      </c>
      <c r="I10" s="7" t="s">
        <v>17</v>
      </c>
      <c r="J10" s="1"/>
    </row>
    <row r="11" spans="1:10" x14ac:dyDescent="0.2">
      <c r="A11" s="9" t="s">
        <v>3293</v>
      </c>
      <c r="B11" s="8" t="s">
        <v>981</v>
      </c>
      <c r="C11" s="8">
        <v>86102</v>
      </c>
      <c r="D11" s="69" t="s">
        <v>980</v>
      </c>
      <c r="E11" s="8">
        <v>307.14510000000001</v>
      </c>
      <c r="F11" s="8" t="s">
        <v>9</v>
      </c>
      <c r="G11" s="8" t="s">
        <v>1</v>
      </c>
      <c r="H11" s="8" t="s">
        <v>1</v>
      </c>
      <c r="I11" s="7" t="s">
        <v>0</v>
      </c>
      <c r="J11" s="1"/>
    </row>
    <row r="12" spans="1:10" x14ac:dyDescent="0.2">
      <c r="A12" s="9" t="s">
        <v>2036</v>
      </c>
      <c r="B12" s="8" t="s">
        <v>977</v>
      </c>
      <c r="C12" s="8">
        <v>73665</v>
      </c>
      <c r="D12" s="69" t="s">
        <v>976</v>
      </c>
      <c r="E12" s="8">
        <v>375.0308</v>
      </c>
      <c r="F12" s="8" t="s">
        <v>9</v>
      </c>
      <c r="G12" s="8" t="s">
        <v>1</v>
      </c>
      <c r="H12" s="8" t="s">
        <v>1</v>
      </c>
      <c r="I12" s="7" t="s">
        <v>138</v>
      </c>
      <c r="J12" s="1"/>
    </row>
    <row r="13" spans="1:10" x14ac:dyDescent="0.2">
      <c r="A13" s="9" t="s">
        <v>1222</v>
      </c>
      <c r="B13" s="8" t="s">
        <v>974</v>
      </c>
      <c r="C13" s="8">
        <v>91693</v>
      </c>
      <c r="D13" s="69" t="s">
        <v>973</v>
      </c>
      <c r="E13" s="8">
        <v>283.0643</v>
      </c>
      <c r="F13" s="8" t="s">
        <v>9</v>
      </c>
      <c r="G13" s="8" t="s">
        <v>1</v>
      </c>
      <c r="H13" s="8" t="s">
        <v>1</v>
      </c>
      <c r="I13" s="7" t="s">
        <v>0</v>
      </c>
      <c r="J13" s="1"/>
    </row>
    <row r="14" spans="1:10" x14ac:dyDescent="0.2">
      <c r="A14" s="9" t="s">
        <v>1229</v>
      </c>
      <c r="B14" s="8" t="s">
        <v>971</v>
      </c>
      <c r="C14" s="8">
        <v>39385</v>
      </c>
      <c r="D14" s="69" t="s">
        <v>970</v>
      </c>
      <c r="E14" s="8">
        <v>293.09309999999999</v>
      </c>
      <c r="F14" s="8" t="s">
        <v>9</v>
      </c>
      <c r="G14" s="8" t="s">
        <v>1</v>
      </c>
      <c r="H14" s="8" t="s">
        <v>1</v>
      </c>
      <c r="I14" s="7" t="s">
        <v>138</v>
      </c>
      <c r="J14" s="1"/>
    </row>
    <row r="15" spans="1:10" x14ac:dyDescent="0.2">
      <c r="A15" s="9" t="s">
        <v>1212</v>
      </c>
      <c r="B15" s="8" t="s">
        <v>968</v>
      </c>
      <c r="C15" s="8">
        <v>86417</v>
      </c>
      <c r="D15" s="69" t="s">
        <v>967</v>
      </c>
      <c r="E15" s="8">
        <v>375.00900000000001</v>
      </c>
      <c r="F15" s="8" t="s">
        <v>1</v>
      </c>
      <c r="G15" s="8" t="s">
        <v>1</v>
      </c>
      <c r="H15" s="8" t="s">
        <v>1</v>
      </c>
      <c r="I15" s="7" t="s">
        <v>708</v>
      </c>
      <c r="J15" s="1"/>
    </row>
    <row r="16" spans="1:10" x14ac:dyDescent="0.2">
      <c r="A16" s="9" t="s">
        <v>1214</v>
      </c>
      <c r="B16" s="8" t="s">
        <v>965</v>
      </c>
      <c r="C16" s="8">
        <v>91727</v>
      </c>
      <c r="D16" s="69" t="s">
        <v>964</v>
      </c>
      <c r="E16" s="8">
        <v>301.10270000000003</v>
      </c>
      <c r="F16" s="8" t="s">
        <v>1</v>
      </c>
      <c r="G16" s="8" t="s">
        <v>1</v>
      </c>
      <c r="H16" s="8" t="s">
        <v>1</v>
      </c>
      <c r="I16" s="7" t="s">
        <v>0</v>
      </c>
      <c r="J16" s="1"/>
    </row>
    <row r="17" spans="1:10" x14ac:dyDescent="0.2">
      <c r="A17" s="11" t="s">
        <v>961</v>
      </c>
      <c r="B17" s="10" t="s">
        <v>17</v>
      </c>
      <c r="C17" s="8" t="s">
        <v>17</v>
      </c>
      <c r="D17" s="69" t="s">
        <v>17</v>
      </c>
      <c r="E17" s="10" t="s">
        <v>17</v>
      </c>
      <c r="F17" s="8" t="s">
        <v>17</v>
      </c>
      <c r="G17" s="8" t="s">
        <v>17</v>
      </c>
      <c r="H17" s="10" t="s">
        <v>17</v>
      </c>
      <c r="I17" s="7" t="s">
        <v>17</v>
      </c>
      <c r="J17" s="1"/>
    </row>
    <row r="18" spans="1:10" x14ac:dyDescent="0.2">
      <c r="A18" s="9" t="s">
        <v>3258</v>
      </c>
      <c r="B18" s="8" t="s">
        <v>959</v>
      </c>
      <c r="C18" s="8">
        <v>8370</v>
      </c>
      <c r="D18" s="69" t="s">
        <v>958</v>
      </c>
      <c r="E18" s="8">
        <v>281.81310000000002</v>
      </c>
      <c r="F18" s="8" t="s">
        <v>9</v>
      </c>
      <c r="G18" s="8" t="s">
        <v>1</v>
      </c>
      <c r="H18" s="8" t="s">
        <v>69</v>
      </c>
      <c r="I18" s="7" t="s">
        <v>0</v>
      </c>
      <c r="J18" s="1"/>
    </row>
    <row r="19" spans="1:10" x14ac:dyDescent="0.2">
      <c r="A19" s="9" t="s">
        <v>3362</v>
      </c>
      <c r="B19" s="8" t="s">
        <v>955</v>
      </c>
      <c r="C19" s="8">
        <v>6720</v>
      </c>
      <c r="D19" s="69" t="s">
        <v>954</v>
      </c>
      <c r="E19" s="8">
        <v>292.8372</v>
      </c>
      <c r="F19" s="8" t="s">
        <v>1</v>
      </c>
      <c r="G19" s="8" t="s">
        <v>1</v>
      </c>
      <c r="H19" s="8">
        <v>3</v>
      </c>
      <c r="I19" s="7" t="s">
        <v>0</v>
      </c>
      <c r="J19" s="1"/>
    </row>
    <row r="20" spans="1:10" x14ac:dyDescent="0.2">
      <c r="A20" s="11" t="s">
        <v>951</v>
      </c>
      <c r="B20" s="10" t="s">
        <v>17</v>
      </c>
      <c r="C20" s="8" t="s">
        <v>17</v>
      </c>
      <c r="D20" s="69" t="s">
        <v>17</v>
      </c>
      <c r="E20" s="10" t="s">
        <v>17</v>
      </c>
      <c r="F20" s="8" t="s">
        <v>17</v>
      </c>
      <c r="G20" s="8" t="s">
        <v>17</v>
      </c>
      <c r="H20" s="10" t="s">
        <v>17</v>
      </c>
      <c r="I20" s="7" t="s">
        <v>17</v>
      </c>
      <c r="J20" s="1"/>
    </row>
    <row r="21" spans="1:10" x14ac:dyDescent="0.2">
      <c r="A21" s="9" t="s">
        <v>2081</v>
      </c>
      <c r="B21" s="8" t="s">
        <v>949</v>
      </c>
      <c r="C21" s="8">
        <v>8607</v>
      </c>
      <c r="D21" s="69" t="s">
        <v>948</v>
      </c>
      <c r="E21" s="8">
        <v>294.90280000000001</v>
      </c>
      <c r="F21" s="8" t="s">
        <v>9</v>
      </c>
      <c r="G21" s="8" t="s">
        <v>1</v>
      </c>
      <c r="H21" s="8" t="s">
        <v>1</v>
      </c>
      <c r="I21" s="7" t="s">
        <v>566</v>
      </c>
    </row>
    <row r="22" spans="1:10" x14ac:dyDescent="0.2">
      <c r="A22" s="9" t="s">
        <v>1206</v>
      </c>
      <c r="B22" s="8" t="s">
        <v>945</v>
      </c>
      <c r="C22" s="8">
        <v>8606</v>
      </c>
      <c r="D22" s="69" t="s">
        <v>944</v>
      </c>
      <c r="E22" s="8">
        <v>298.9341</v>
      </c>
      <c r="F22" s="8" t="s">
        <v>9</v>
      </c>
      <c r="G22" s="8" t="s">
        <v>1</v>
      </c>
      <c r="H22" s="8">
        <v>3</v>
      </c>
      <c r="I22" s="7" t="s">
        <v>566</v>
      </c>
    </row>
    <row r="23" spans="1:10" x14ac:dyDescent="0.2">
      <c r="A23" s="11" t="s">
        <v>942</v>
      </c>
      <c r="B23" s="10" t="s">
        <v>17</v>
      </c>
      <c r="C23" s="8" t="s">
        <v>17</v>
      </c>
      <c r="D23" s="69" t="s">
        <v>17</v>
      </c>
      <c r="E23" s="10" t="s">
        <v>17</v>
      </c>
      <c r="F23" s="8" t="s">
        <v>17</v>
      </c>
      <c r="G23" s="8" t="s">
        <v>17</v>
      </c>
      <c r="H23" s="10" t="s">
        <v>17</v>
      </c>
      <c r="I23" s="7" t="s">
        <v>17</v>
      </c>
    </row>
    <row r="24" spans="1:10" x14ac:dyDescent="0.2">
      <c r="A24" s="9" t="s">
        <v>1210</v>
      </c>
      <c r="B24" s="8" t="s">
        <v>940</v>
      </c>
      <c r="C24" s="8">
        <v>14145</v>
      </c>
      <c r="D24" s="69" t="s">
        <v>939</v>
      </c>
      <c r="E24" s="8">
        <v>331.96230000000003</v>
      </c>
      <c r="F24" s="8" t="s">
        <v>9</v>
      </c>
      <c r="G24" s="8" t="s">
        <v>1</v>
      </c>
      <c r="H24" s="8" t="s">
        <v>1</v>
      </c>
      <c r="I24" s="7" t="s">
        <v>0</v>
      </c>
    </row>
    <row r="25" spans="1:10" x14ac:dyDescent="0.2">
      <c r="A25" s="9" t="s">
        <v>1227</v>
      </c>
      <c r="B25" s="8" t="s">
        <v>937</v>
      </c>
      <c r="C25" s="8">
        <v>12898</v>
      </c>
      <c r="D25" s="69" t="s">
        <v>936</v>
      </c>
      <c r="E25" s="8">
        <v>345.97800000000001</v>
      </c>
      <c r="F25" s="8" t="s">
        <v>9</v>
      </c>
      <c r="G25" s="8" t="s">
        <v>1</v>
      </c>
      <c r="H25" s="8" t="s">
        <v>1</v>
      </c>
      <c r="I25" s="7" t="s">
        <v>0</v>
      </c>
    </row>
    <row r="26" spans="1:10" x14ac:dyDescent="0.2">
      <c r="A26" s="11" t="s">
        <v>18</v>
      </c>
      <c r="B26" s="10" t="s">
        <v>17</v>
      </c>
      <c r="C26" s="8" t="s">
        <v>17</v>
      </c>
      <c r="D26" s="69" t="s">
        <v>17</v>
      </c>
      <c r="E26" s="10" t="s">
        <v>17</v>
      </c>
      <c r="F26" s="8" t="s">
        <v>17</v>
      </c>
      <c r="G26" s="8" t="s">
        <v>17</v>
      </c>
      <c r="H26" s="10" t="s">
        <v>17</v>
      </c>
      <c r="I26" s="7" t="s">
        <v>17</v>
      </c>
    </row>
    <row r="27" spans="1:10" x14ac:dyDescent="0.2">
      <c r="A27" s="9" t="s">
        <v>2054</v>
      </c>
      <c r="B27" s="8" t="s">
        <v>934</v>
      </c>
      <c r="C27" s="8">
        <v>38884</v>
      </c>
      <c r="D27" s="69" t="s">
        <v>933</v>
      </c>
      <c r="E27" s="8">
        <v>316.15690000000001</v>
      </c>
      <c r="F27" s="8" t="s">
        <v>9</v>
      </c>
      <c r="G27" s="8" t="s">
        <v>9</v>
      </c>
      <c r="H27" s="8" t="s">
        <v>1</v>
      </c>
      <c r="I27" s="7" t="s">
        <v>524</v>
      </c>
    </row>
    <row r="28" spans="1:10" x14ac:dyDescent="0.2">
      <c r="A28" s="9" t="s">
        <v>1220</v>
      </c>
      <c r="B28" s="8" t="s">
        <v>930</v>
      </c>
      <c r="C28" s="8">
        <v>42586</v>
      </c>
      <c r="D28" s="69" t="s">
        <v>929</v>
      </c>
      <c r="E28" s="8">
        <v>279.14710000000002</v>
      </c>
      <c r="F28" s="8" t="s">
        <v>9</v>
      </c>
      <c r="G28" s="8" t="s">
        <v>9</v>
      </c>
      <c r="H28" s="8" t="s">
        <v>1</v>
      </c>
      <c r="I28" s="7" t="s">
        <v>85</v>
      </c>
    </row>
    <row r="29" spans="1:10" x14ac:dyDescent="0.2">
      <c r="A29" s="9" t="s">
        <v>2074</v>
      </c>
      <c r="B29" s="8" t="s">
        <v>926</v>
      </c>
      <c r="C29" s="8">
        <v>86398</v>
      </c>
      <c r="D29" s="69" t="s">
        <v>925</v>
      </c>
      <c r="E29" s="8">
        <v>248.03970000000001</v>
      </c>
      <c r="F29" s="8" t="s">
        <v>9</v>
      </c>
      <c r="G29" s="8" t="s">
        <v>1</v>
      </c>
      <c r="H29" s="8" t="s">
        <v>1</v>
      </c>
      <c r="I29" s="7" t="s">
        <v>63</v>
      </c>
    </row>
    <row r="30" spans="1:10" x14ac:dyDescent="0.2">
      <c r="A30" s="9" t="s">
        <v>2097</v>
      </c>
      <c r="B30" s="8" t="s">
        <v>922</v>
      </c>
      <c r="C30" s="8">
        <v>36242</v>
      </c>
      <c r="D30" s="69" t="s">
        <v>921</v>
      </c>
      <c r="E30" s="8">
        <v>283.01670000000001</v>
      </c>
      <c r="F30" s="8" t="s">
        <v>9</v>
      </c>
      <c r="G30" s="8" t="s">
        <v>1</v>
      </c>
      <c r="H30" s="8" t="s">
        <v>1</v>
      </c>
      <c r="I30" s="7" t="s">
        <v>920</v>
      </c>
    </row>
    <row r="31" spans="1:10" x14ac:dyDescent="0.2">
      <c r="A31" s="9" t="s">
        <v>2117</v>
      </c>
      <c r="B31" s="8" t="s">
        <v>917</v>
      </c>
      <c r="C31" s="8">
        <v>39676</v>
      </c>
      <c r="D31" s="69" t="s">
        <v>916</v>
      </c>
      <c r="E31" s="8">
        <v>284.99590000000001</v>
      </c>
      <c r="F31" s="8" t="s">
        <v>9</v>
      </c>
      <c r="G31" s="8" t="s">
        <v>1</v>
      </c>
      <c r="H31" s="8" t="s">
        <v>1</v>
      </c>
      <c r="I31" s="7" t="s">
        <v>0</v>
      </c>
    </row>
    <row r="32" spans="1:10" x14ac:dyDescent="0.2">
      <c r="A32" s="9" t="s">
        <v>1878</v>
      </c>
      <c r="B32" s="8" t="s">
        <v>913</v>
      </c>
      <c r="C32" s="8">
        <v>26033</v>
      </c>
      <c r="D32" s="69" t="s">
        <v>912</v>
      </c>
      <c r="E32" s="8">
        <v>373.08609999999999</v>
      </c>
      <c r="F32" s="8" t="s">
        <v>1</v>
      </c>
      <c r="G32" s="8" t="s">
        <v>1</v>
      </c>
      <c r="H32" s="8" t="s">
        <v>1</v>
      </c>
      <c r="I32" s="7" t="s">
        <v>661</v>
      </c>
    </row>
    <row r="33" spans="1:12" customFormat="1" x14ac:dyDescent="0.2">
      <c r="A33" s="14" t="s">
        <v>909</v>
      </c>
      <c r="B33" s="10" t="s">
        <v>17</v>
      </c>
      <c r="C33" s="8" t="s">
        <v>17</v>
      </c>
      <c r="D33" s="69" t="s">
        <v>17</v>
      </c>
      <c r="E33" s="10" t="s">
        <v>17</v>
      </c>
      <c r="F33" s="8" t="s">
        <v>17</v>
      </c>
      <c r="G33" s="8" t="s">
        <v>17</v>
      </c>
      <c r="H33" s="10" t="s">
        <v>17</v>
      </c>
      <c r="I33" s="7" t="s">
        <v>17</v>
      </c>
      <c r="K33" s="1"/>
      <c r="L33" s="1"/>
    </row>
    <row r="34" spans="1:12" customFormat="1" x14ac:dyDescent="0.2">
      <c r="A34" s="11" t="s">
        <v>908</v>
      </c>
      <c r="B34" s="10" t="s">
        <v>17</v>
      </c>
      <c r="C34" s="8" t="s">
        <v>17</v>
      </c>
      <c r="D34" s="69" t="s">
        <v>17</v>
      </c>
      <c r="E34" s="10" t="s">
        <v>17</v>
      </c>
      <c r="F34" s="8" t="s">
        <v>17</v>
      </c>
      <c r="G34" s="8" t="s">
        <v>17</v>
      </c>
      <c r="H34" s="10" t="s">
        <v>17</v>
      </c>
      <c r="I34" s="7" t="s">
        <v>17</v>
      </c>
      <c r="K34" s="1"/>
      <c r="L34" s="1"/>
    </row>
    <row r="35" spans="1:12" customFormat="1" x14ac:dyDescent="0.2">
      <c r="A35" s="9" t="s">
        <v>3055</v>
      </c>
      <c r="B35" s="8" t="s">
        <v>907</v>
      </c>
      <c r="C35" s="8">
        <v>27189</v>
      </c>
      <c r="D35" s="69" t="s">
        <v>906</v>
      </c>
      <c r="E35" s="8">
        <v>271.15719999999999</v>
      </c>
      <c r="F35" s="8" t="s">
        <v>9</v>
      </c>
      <c r="G35" s="8" t="s">
        <v>9</v>
      </c>
      <c r="H35" s="8" t="s">
        <v>1</v>
      </c>
      <c r="I35" s="7" t="s">
        <v>361</v>
      </c>
      <c r="K35" s="1"/>
      <c r="L35" s="1"/>
    </row>
    <row r="36" spans="1:12" customFormat="1" x14ac:dyDescent="0.2">
      <c r="A36" s="9" t="s">
        <v>2868</v>
      </c>
      <c r="B36" s="8" t="s">
        <v>905</v>
      </c>
      <c r="C36" s="8">
        <v>32154</v>
      </c>
      <c r="D36" s="69" t="s">
        <v>904</v>
      </c>
      <c r="E36" s="8">
        <v>255.02180000000001</v>
      </c>
      <c r="F36" s="8" t="s">
        <v>9</v>
      </c>
      <c r="G36" s="8" t="s">
        <v>1</v>
      </c>
      <c r="H36" s="8" t="s">
        <v>1</v>
      </c>
      <c r="I36" s="7" t="s">
        <v>0</v>
      </c>
      <c r="K36" s="1"/>
      <c r="L36" s="1"/>
    </row>
    <row r="37" spans="1:12" customFormat="1" x14ac:dyDescent="0.2">
      <c r="A37" s="9" t="s">
        <v>1247</v>
      </c>
      <c r="B37" s="8" t="s">
        <v>902</v>
      </c>
      <c r="C37" s="8">
        <v>13728</v>
      </c>
      <c r="D37" s="69" t="s">
        <v>901</v>
      </c>
      <c r="E37" s="8">
        <v>239.131</v>
      </c>
      <c r="F37" s="8" t="s">
        <v>1</v>
      </c>
      <c r="G37" s="8" t="s">
        <v>1</v>
      </c>
      <c r="H37" s="8" t="s">
        <v>1</v>
      </c>
      <c r="I37" s="7" t="s">
        <v>0</v>
      </c>
      <c r="K37" s="1"/>
      <c r="L37" s="1"/>
    </row>
    <row r="38" spans="1:12" customFormat="1" x14ac:dyDescent="0.2">
      <c r="A38" s="11" t="s">
        <v>900</v>
      </c>
      <c r="B38" s="10" t="s">
        <v>17</v>
      </c>
      <c r="C38" s="8" t="s">
        <v>17</v>
      </c>
      <c r="D38" s="69" t="s">
        <v>17</v>
      </c>
      <c r="E38" s="10" t="s">
        <v>17</v>
      </c>
      <c r="F38" s="8" t="s">
        <v>17</v>
      </c>
      <c r="G38" s="8" t="s">
        <v>17</v>
      </c>
      <c r="H38" s="10" t="s">
        <v>17</v>
      </c>
      <c r="I38" s="7" t="s">
        <v>17</v>
      </c>
      <c r="K38" s="1"/>
      <c r="L38" s="1"/>
    </row>
    <row r="39" spans="1:12" customFormat="1" x14ac:dyDescent="0.2">
      <c r="A39" s="9" t="s">
        <v>1261</v>
      </c>
      <c r="B39" s="8" t="s">
        <v>899</v>
      </c>
      <c r="C39" s="8">
        <v>167454</v>
      </c>
      <c r="D39" s="69" t="s">
        <v>892</v>
      </c>
      <c r="E39" s="8">
        <v>283.13389999999998</v>
      </c>
      <c r="F39" s="8" t="s">
        <v>9</v>
      </c>
      <c r="G39" s="8" t="s">
        <v>1</v>
      </c>
      <c r="H39" s="8" t="s">
        <v>1</v>
      </c>
      <c r="I39" s="7" t="s">
        <v>0</v>
      </c>
      <c r="K39" s="1"/>
      <c r="L39" s="1"/>
    </row>
    <row r="40" spans="1:12" customFormat="1" x14ac:dyDescent="0.2">
      <c r="A40" s="9" t="s">
        <v>1231</v>
      </c>
      <c r="B40" s="8" t="s">
        <v>898</v>
      </c>
      <c r="C40" s="8">
        <v>1988</v>
      </c>
      <c r="D40" s="69" t="s">
        <v>896</v>
      </c>
      <c r="E40" s="8">
        <v>269.11829999999998</v>
      </c>
      <c r="F40" s="8" t="s">
        <v>9</v>
      </c>
      <c r="G40" s="8" t="s">
        <v>1</v>
      </c>
      <c r="H40" s="8" t="s">
        <v>1</v>
      </c>
      <c r="I40" s="7" t="s">
        <v>0</v>
      </c>
      <c r="K40" s="1"/>
      <c r="L40" s="1"/>
    </row>
    <row r="41" spans="1:12" customFormat="1" x14ac:dyDescent="0.2">
      <c r="A41" s="9" t="s">
        <v>1234</v>
      </c>
      <c r="B41" s="8" t="s">
        <v>897</v>
      </c>
      <c r="C41" s="8">
        <v>2078</v>
      </c>
      <c r="D41" s="69" t="s">
        <v>896</v>
      </c>
      <c r="E41" s="8">
        <v>269.11829999999998</v>
      </c>
      <c r="F41" s="8" t="s">
        <v>9</v>
      </c>
      <c r="G41" s="8" t="s">
        <v>1</v>
      </c>
      <c r="H41" s="8" t="s">
        <v>1</v>
      </c>
      <c r="I41" s="7" t="s">
        <v>0</v>
      </c>
      <c r="K41" s="1"/>
      <c r="L41" s="1"/>
    </row>
    <row r="42" spans="1:12" customFormat="1" x14ac:dyDescent="0.2">
      <c r="A42" s="9" t="s">
        <v>2006</v>
      </c>
      <c r="B42" s="8" t="s">
        <v>895</v>
      </c>
      <c r="C42" s="8">
        <v>39722</v>
      </c>
      <c r="D42" s="69" t="s">
        <v>894</v>
      </c>
      <c r="E42" s="8">
        <v>255.1026</v>
      </c>
      <c r="F42" s="8" t="s">
        <v>1</v>
      </c>
      <c r="G42" s="8" t="s">
        <v>1</v>
      </c>
      <c r="H42" s="8" t="s">
        <v>1</v>
      </c>
      <c r="I42" s="7" t="s">
        <v>0</v>
      </c>
      <c r="K42" s="1"/>
      <c r="L42" s="1"/>
    </row>
    <row r="43" spans="1:12" customFormat="1" x14ac:dyDescent="0.2">
      <c r="A43" s="9" t="s">
        <v>2025</v>
      </c>
      <c r="B43" s="8" t="s">
        <v>893</v>
      </c>
      <c r="C43" s="8">
        <v>4169</v>
      </c>
      <c r="D43" s="69" t="s">
        <v>892</v>
      </c>
      <c r="E43" s="8">
        <v>283.13389999999998</v>
      </c>
      <c r="F43" s="8" t="s">
        <v>1</v>
      </c>
      <c r="G43" s="8" t="s">
        <v>1</v>
      </c>
      <c r="H43" s="8" t="s">
        <v>1</v>
      </c>
      <c r="I43" s="7" t="s">
        <v>0</v>
      </c>
      <c r="K43" s="1"/>
      <c r="L43" s="1"/>
    </row>
    <row r="44" spans="1:12" customFormat="1" x14ac:dyDescent="0.2">
      <c r="A44" s="9" t="s">
        <v>2038</v>
      </c>
      <c r="B44" s="8" t="s">
        <v>891</v>
      </c>
      <c r="C44" s="8">
        <v>4931</v>
      </c>
      <c r="D44" s="69" t="s">
        <v>890</v>
      </c>
      <c r="E44" s="8">
        <v>211.07640000000001</v>
      </c>
      <c r="F44" s="8" t="s">
        <v>1</v>
      </c>
      <c r="G44" s="8" t="s">
        <v>1</v>
      </c>
      <c r="H44" s="8" t="s">
        <v>1</v>
      </c>
      <c r="I44" s="7" t="s">
        <v>0</v>
      </c>
      <c r="K44" s="1"/>
      <c r="L44" s="1"/>
    </row>
    <row r="45" spans="1:12" customFormat="1" x14ac:dyDescent="0.2">
      <c r="A45" s="9" t="s">
        <v>1257</v>
      </c>
      <c r="B45" s="8" t="s">
        <v>889</v>
      </c>
      <c r="C45" s="8">
        <v>91644</v>
      </c>
      <c r="D45" s="69" t="s">
        <v>888</v>
      </c>
      <c r="E45" s="8">
        <v>311.16520000000003</v>
      </c>
      <c r="F45" s="8" t="s">
        <v>1</v>
      </c>
      <c r="G45" s="8" t="s">
        <v>1</v>
      </c>
      <c r="H45" s="8" t="s">
        <v>1</v>
      </c>
      <c r="I45" s="7" t="s">
        <v>0</v>
      </c>
      <c r="K45" s="1"/>
      <c r="L45" s="1"/>
    </row>
    <row r="46" spans="1:12" customFormat="1" x14ac:dyDescent="0.2">
      <c r="A46" s="9" t="s">
        <v>1998</v>
      </c>
      <c r="B46" s="8" t="s">
        <v>887</v>
      </c>
      <c r="C46" s="8">
        <v>7157</v>
      </c>
      <c r="D46" s="69" t="s">
        <v>886</v>
      </c>
      <c r="E46" s="8">
        <v>173.0607</v>
      </c>
      <c r="F46" s="8" t="s">
        <v>1</v>
      </c>
      <c r="G46" s="8" t="s">
        <v>1</v>
      </c>
      <c r="H46" s="8" t="s">
        <v>1</v>
      </c>
      <c r="I46" s="7" t="s">
        <v>85</v>
      </c>
      <c r="K46" s="1"/>
      <c r="L46" s="1"/>
    </row>
    <row r="47" spans="1:12" customFormat="1" x14ac:dyDescent="0.2">
      <c r="A47" s="11" t="s">
        <v>885</v>
      </c>
      <c r="B47" s="10" t="s">
        <v>17</v>
      </c>
      <c r="C47" s="8" t="s">
        <v>17</v>
      </c>
      <c r="D47" s="69" t="s">
        <v>17</v>
      </c>
      <c r="E47" s="10" t="s">
        <v>17</v>
      </c>
      <c r="F47" s="8" t="s">
        <v>17</v>
      </c>
      <c r="G47" s="8" t="s">
        <v>17</v>
      </c>
      <c r="H47" s="10" t="s">
        <v>17</v>
      </c>
      <c r="I47" s="7" t="s">
        <v>17</v>
      </c>
      <c r="K47" s="1"/>
      <c r="L47" s="1"/>
    </row>
    <row r="48" spans="1:12" customFormat="1" x14ac:dyDescent="0.2">
      <c r="A48" s="9" t="s">
        <v>1973</v>
      </c>
      <c r="B48" s="8" t="s">
        <v>884</v>
      </c>
      <c r="C48" s="8">
        <v>38479</v>
      </c>
      <c r="D48" s="69" t="s">
        <v>883</v>
      </c>
      <c r="E48" s="8">
        <v>281.13749999999999</v>
      </c>
      <c r="F48" s="8" t="s">
        <v>9</v>
      </c>
      <c r="G48" s="8" t="s">
        <v>1</v>
      </c>
      <c r="H48" s="8" t="s">
        <v>1</v>
      </c>
      <c r="I48" s="7" t="s">
        <v>0</v>
      </c>
      <c r="K48" s="1"/>
      <c r="L48" s="1"/>
    </row>
    <row r="49" spans="1:12" customFormat="1" x14ac:dyDescent="0.2">
      <c r="A49" s="9" t="s">
        <v>1965</v>
      </c>
      <c r="B49" s="8" t="s">
        <v>882</v>
      </c>
      <c r="C49" s="8">
        <v>20848</v>
      </c>
      <c r="D49" s="69" t="s">
        <v>881</v>
      </c>
      <c r="E49" s="8">
        <v>345.09949999999998</v>
      </c>
      <c r="F49" s="8" t="s">
        <v>1</v>
      </c>
      <c r="G49" s="8" t="s">
        <v>1</v>
      </c>
      <c r="H49" s="8" t="s">
        <v>1</v>
      </c>
      <c r="I49" s="7" t="s">
        <v>0</v>
      </c>
      <c r="K49" s="1"/>
      <c r="L49" s="1"/>
    </row>
    <row r="50" spans="1:12" customFormat="1" x14ac:dyDescent="0.2">
      <c r="A50" s="11" t="s">
        <v>880</v>
      </c>
      <c r="B50" s="10" t="s">
        <v>17</v>
      </c>
      <c r="C50" s="8" t="s">
        <v>17</v>
      </c>
      <c r="D50" s="69" t="s">
        <v>17</v>
      </c>
      <c r="E50" s="10" t="s">
        <v>17</v>
      </c>
      <c r="F50" s="8" t="s">
        <v>17</v>
      </c>
      <c r="G50" s="8" t="s">
        <v>17</v>
      </c>
      <c r="H50" s="10" t="s">
        <v>17</v>
      </c>
      <c r="I50" s="7" t="s">
        <v>17</v>
      </c>
      <c r="K50" s="1"/>
      <c r="L50" s="1"/>
    </row>
    <row r="51" spans="1:12" customFormat="1" x14ac:dyDescent="0.2">
      <c r="A51" s="9" t="s">
        <v>2378</v>
      </c>
      <c r="B51" s="8" t="s">
        <v>879</v>
      </c>
      <c r="C51" s="8">
        <v>6950</v>
      </c>
      <c r="D51" s="69" t="s">
        <v>878</v>
      </c>
      <c r="E51" s="8">
        <v>240.0746</v>
      </c>
      <c r="F51" s="8" t="s">
        <v>9</v>
      </c>
      <c r="G51" s="8" t="s">
        <v>1</v>
      </c>
      <c r="H51" s="8" t="s">
        <v>1</v>
      </c>
      <c r="I51" s="7" t="s">
        <v>14</v>
      </c>
      <c r="K51" s="1"/>
      <c r="L51" s="1"/>
    </row>
    <row r="52" spans="1:12" customFormat="1" x14ac:dyDescent="0.2">
      <c r="A52" s="9" t="s">
        <v>3332</v>
      </c>
      <c r="B52" s="8" t="s">
        <v>877</v>
      </c>
      <c r="C52" s="8">
        <v>10800</v>
      </c>
      <c r="D52" s="69" t="s">
        <v>876</v>
      </c>
      <c r="E52" s="8">
        <v>198.02770000000001</v>
      </c>
      <c r="F52" s="8" t="s">
        <v>1</v>
      </c>
      <c r="G52" s="8" t="s">
        <v>1</v>
      </c>
      <c r="H52" s="8" t="s">
        <v>1</v>
      </c>
      <c r="I52" s="7" t="s">
        <v>14</v>
      </c>
      <c r="K52" s="1"/>
      <c r="L52" s="1"/>
    </row>
    <row r="53" spans="1:12" customFormat="1" x14ac:dyDescent="0.2">
      <c r="A53" s="11" t="s">
        <v>875</v>
      </c>
      <c r="B53" s="10" t="s">
        <v>17</v>
      </c>
      <c r="C53" s="8" t="s">
        <v>17</v>
      </c>
      <c r="D53" s="69" t="s">
        <v>17</v>
      </c>
      <c r="E53" s="10" t="s">
        <v>17</v>
      </c>
      <c r="F53" s="8" t="s">
        <v>17</v>
      </c>
      <c r="G53" s="8" t="s">
        <v>17</v>
      </c>
      <c r="H53" s="10" t="s">
        <v>17</v>
      </c>
      <c r="I53" s="7" t="s">
        <v>17</v>
      </c>
      <c r="K53" s="1"/>
      <c r="L53" s="1"/>
    </row>
    <row r="54" spans="1:12" customFormat="1" x14ac:dyDescent="0.2">
      <c r="A54" s="9" t="s">
        <v>1250</v>
      </c>
      <c r="B54" s="8" t="s">
        <v>874</v>
      </c>
      <c r="C54" s="8">
        <v>7158</v>
      </c>
      <c r="D54" s="69" t="s">
        <v>873</v>
      </c>
      <c r="E54" s="8">
        <v>267.9461</v>
      </c>
      <c r="F54" s="8" t="s">
        <v>1</v>
      </c>
      <c r="G54" s="8" t="s">
        <v>1</v>
      </c>
      <c r="H54" s="8" t="s">
        <v>1</v>
      </c>
      <c r="I54" s="7" t="s">
        <v>0</v>
      </c>
      <c r="K54" s="1"/>
      <c r="L54" s="1"/>
    </row>
    <row r="55" spans="1:12" customFormat="1" x14ac:dyDescent="0.2">
      <c r="A55" s="9" t="s">
        <v>3145</v>
      </c>
      <c r="B55" s="8" t="s">
        <v>872</v>
      </c>
      <c r="C55" s="8">
        <v>7153</v>
      </c>
      <c r="D55" s="69" t="s">
        <v>871</v>
      </c>
      <c r="E55" s="8">
        <v>214.03970000000001</v>
      </c>
      <c r="F55" s="8" t="s">
        <v>9</v>
      </c>
      <c r="G55" s="8" t="s">
        <v>1</v>
      </c>
      <c r="H55" s="8" t="s">
        <v>69</v>
      </c>
      <c r="I55" s="7" t="s">
        <v>0</v>
      </c>
      <c r="K55" s="1"/>
      <c r="L55" s="1"/>
    </row>
    <row r="56" spans="1:12" customFormat="1" x14ac:dyDescent="0.2">
      <c r="A56" s="9" t="s">
        <v>2375</v>
      </c>
      <c r="B56" s="8" t="s">
        <v>870</v>
      </c>
      <c r="C56" s="8">
        <v>7204</v>
      </c>
      <c r="D56" s="69" t="s">
        <v>869</v>
      </c>
      <c r="E56" s="8">
        <v>200.024</v>
      </c>
      <c r="F56" s="8" t="s">
        <v>1</v>
      </c>
      <c r="G56" s="8" t="s">
        <v>1</v>
      </c>
      <c r="H56" s="8" t="s">
        <v>69</v>
      </c>
      <c r="I56" s="7" t="s">
        <v>0</v>
      </c>
      <c r="K56" s="1"/>
      <c r="L56" s="1"/>
    </row>
    <row r="57" spans="1:12" customFormat="1" x14ac:dyDescent="0.2">
      <c r="A57" s="11" t="s">
        <v>868</v>
      </c>
      <c r="B57" s="10" t="s">
        <v>17</v>
      </c>
      <c r="C57" s="8" t="s">
        <v>17</v>
      </c>
      <c r="D57" s="69" t="s">
        <v>17</v>
      </c>
      <c r="E57" s="10" t="s">
        <v>17</v>
      </c>
      <c r="F57" s="8" t="s">
        <v>17</v>
      </c>
      <c r="G57" s="8" t="s">
        <v>17</v>
      </c>
      <c r="H57" s="10" t="s">
        <v>17</v>
      </c>
      <c r="I57" s="7" t="s">
        <v>17</v>
      </c>
      <c r="K57" s="1"/>
      <c r="L57" s="1"/>
    </row>
    <row r="58" spans="1:12" customFormat="1" x14ac:dyDescent="0.2">
      <c r="A58" s="9" t="s">
        <v>2015</v>
      </c>
      <c r="B58" s="8" t="s">
        <v>867</v>
      </c>
      <c r="C58" s="8">
        <v>9502</v>
      </c>
      <c r="D58" s="69" t="s">
        <v>866</v>
      </c>
      <c r="E58" s="8">
        <v>248.0119</v>
      </c>
      <c r="F58" s="8" t="s">
        <v>9</v>
      </c>
      <c r="G58" s="8" t="s">
        <v>1</v>
      </c>
      <c r="H58" s="8" t="s">
        <v>1</v>
      </c>
      <c r="I58" s="7" t="s">
        <v>0</v>
      </c>
      <c r="K58" s="1"/>
      <c r="L58" s="1"/>
    </row>
    <row r="59" spans="1:12" customFormat="1" x14ac:dyDescent="0.2">
      <c r="A59" s="9" t="s">
        <v>2750</v>
      </c>
      <c r="B59" s="8" t="s">
        <v>865</v>
      </c>
      <c r="C59" s="8">
        <v>3120</v>
      </c>
      <c r="D59" s="69" t="s">
        <v>864</v>
      </c>
      <c r="E59" s="8">
        <v>232.017</v>
      </c>
      <c r="F59" s="8" t="s">
        <v>9</v>
      </c>
      <c r="G59" s="8" t="s">
        <v>1</v>
      </c>
      <c r="H59" s="8" t="s">
        <v>1</v>
      </c>
      <c r="I59" s="7" t="s">
        <v>0</v>
      </c>
      <c r="K59" s="1"/>
      <c r="L59" s="1"/>
    </row>
    <row r="60" spans="1:12" customFormat="1" x14ac:dyDescent="0.2">
      <c r="A60" s="9" t="s">
        <v>3060</v>
      </c>
      <c r="B60" s="8" t="s">
        <v>863</v>
      </c>
      <c r="C60" s="8">
        <v>5383</v>
      </c>
      <c r="D60" s="69" t="s">
        <v>862</v>
      </c>
      <c r="E60" s="8">
        <v>228.1045</v>
      </c>
      <c r="F60" s="8" t="s">
        <v>1</v>
      </c>
      <c r="G60" s="8" t="s">
        <v>1</v>
      </c>
      <c r="H60" s="8" t="s">
        <v>1</v>
      </c>
      <c r="I60" s="7" t="s">
        <v>681</v>
      </c>
      <c r="K60" s="1"/>
      <c r="L60" s="1"/>
    </row>
    <row r="61" spans="1:12" customFormat="1" x14ac:dyDescent="0.2">
      <c r="A61" s="9" t="s">
        <v>2757</v>
      </c>
      <c r="B61" s="8" t="s">
        <v>861</v>
      </c>
      <c r="C61" s="8">
        <v>16116</v>
      </c>
      <c r="D61" s="69" t="s">
        <v>860</v>
      </c>
      <c r="E61" s="8">
        <v>232.1576</v>
      </c>
      <c r="F61" s="8" t="s">
        <v>1</v>
      </c>
      <c r="G61" s="8" t="s">
        <v>1</v>
      </c>
      <c r="H61" s="8" t="s">
        <v>1</v>
      </c>
      <c r="I61" s="7" t="s">
        <v>0</v>
      </c>
      <c r="K61" s="1"/>
      <c r="L61" s="1"/>
    </row>
    <row r="62" spans="1:12" customFormat="1" x14ac:dyDescent="0.2">
      <c r="A62" s="9" t="s">
        <v>2752</v>
      </c>
      <c r="B62" s="8" t="s">
        <v>859</v>
      </c>
      <c r="C62" s="8">
        <v>8800</v>
      </c>
      <c r="D62" s="69" t="s">
        <v>858</v>
      </c>
      <c r="E62" s="8">
        <v>198.05600000000001</v>
      </c>
      <c r="F62" s="8" t="s">
        <v>1</v>
      </c>
      <c r="G62" s="8" t="s">
        <v>1</v>
      </c>
      <c r="H62" s="8">
        <v>3</v>
      </c>
      <c r="I62" s="7" t="s">
        <v>0</v>
      </c>
      <c r="K62" s="1"/>
      <c r="L62" s="1"/>
    </row>
    <row r="63" spans="1:12" customFormat="1" x14ac:dyDescent="0.2">
      <c r="A63" s="11" t="s">
        <v>857</v>
      </c>
      <c r="B63" s="10" t="s">
        <v>17</v>
      </c>
      <c r="C63" s="8" t="s">
        <v>17</v>
      </c>
      <c r="D63" s="69" t="s">
        <v>17</v>
      </c>
      <c r="E63" s="10" t="s">
        <v>17</v>
      </c>
      <c r="F63" s="8" t="s">
        <v>17</v>
      </c>
      <c r="G63" s="8" t="s">
        <v>17</v>
      </c>
      <c r="H63" s="10" t="s">
        <v>17</v>
      </c>
      <c r="I63" s="7" t="s">
        <v>17</v>
      </c>
      <c r="K63" s="1"/>
      <c r="L63" s="1"/>
    </row>
    <row r="64" spans="1:12" customFormat="1" x14ac:dyDescent="0.2">
      <c r="A64" s="9" t="s">
        <v>3148</v>
      </c>
      <c r="B64" s="8" t="s">
        <v>856</v>
      </c>
      <c r="C64" s="8">
        <v>91751</v>
      </c>
      <c r="D64" s="69" t="s">
        <v>855</v>
      </c>
      <c r="E64" s="8">
        <v>419.08749999999998</v>
      </c>
      <c r="F64" s="8" t="s">
        <v>9</v>
      </c>
      <c r="G64" s="8" t="s">
        <v>9</v>
      </c>
      <c r="H64" s="8" t="s">
        <v>1</v>
      </c>
      <c r="I64" s="7" t="s">
        <v>0</v>
      </c>
      <c r="K64" s="1"/>
      <c r="L64" s="1"/>
    </row>
    <row r="65" spans="1:12" customFormat="1" x14ac:dyDescent="0.2">
      <c r="A65" s="9" t="s">
        <v>3151</v>
      </c>
      <c r="B65" s="8" t="s">
        <v>854</v>
      </c>
      <c r="C65" s="8">
        <v>86443</v>
      </c>
      <c r="D65" s="69" t="s">
        <v>853</v>
      </c>
      <c r="E65" s="8">
        <v>406.09469999999999</v>
      </c>
      <c r="F65" s="8" t="s">
        <v>9</v>
      </c>
      <c r="G65" s="8" t="s">
        <v>1</v>
      </c>
      <c r="H65" s="8" t="s">
        <v>1</v>
      </c>
      <c r="I65" s="7" t="s">
        <v>41</v>
      </c>
      <c r="K65" s="1"/>
      <c r="L65" s="1"/>
    </row>
    <row r="66" spans="1:12" customFormat="1" x14ac:dyDescent="0.2">
      <c r="A66" s="9" t="s">
        <v>3283</v>
      </c>
      <c r="B66" s="8" t="s">
        <v>852</v>
      </c>
      <c r="C66" s="8">
        <v>73674</v>
      </c>
      <c r="D66" s="69" t="s">
        <v>851</v>
      </c>
      <c r="E66" s="8">
        <v>387.03070000000002</v>
      </c>
      <c r="F66" s="8" t="s">
        <v>9</v>
      </c>
      <c r="G66" s="8" t="s">
        <v>1</v>
      </c>
      <c r="H66" s="8" t="s">
        <v>1</v>
      </c>
      <c r="I66" s="7" t="s">
        <v>850</v>
      </c>
      <c r="K66" s="1"/>
      <c r="L66" s="1"/>
    </row>
    <row r="67" spans="1:12" customFormat="1" x14ac:dyDescent="0.2">
      <c r="A67" s="9" t="s">
        <v>3150</v>
      </c>
      <c r="B67" s="8" t="s">
        <v>849</v>
      </c>
      <c r="C67" s="8">
        <v>91779</v>
      </c>
      <c r="D67" s="69" t="s">
        <v>848</v>
      </c>
      <c r="E67" s="8">
        <v>431.0564</v>
      </c>
      <c r="F67" s="8" t="s">
        <v>9</v>
      </c>
      <c r="G67" s="8" t="s">
        <v>1</v>
      </c>
      <c r="H67" s="8" t="s">
        <v>1</v>
      </c>
      <c r="I67" s="7" t="s">
        <v>38</v>
      </c>
      <c r="K67" s="1"/>
      <c r="L67" s="1"/>
    </row>
    <row r="68" spans="1:12" customFormat="1" x14ac:dyDescent="0.2">
      <c r="A68" s="9" t="s">
        <v>3166</v>
      </c>
      <c r="B68" s="8" t="s">
        <v>847</v>
      </c>
      <c r="C68" s="8">
        <v>101525</v>
      </c>
      <c r="D68" s="69" t="s">
        <v>846</v>
      </c>
      <c r="E68" s="8">
        <v>468.03629999999998</v>
      </c>
      <c r="F68" s="8" t="s">
        <v>1</v>
      </c>
      <c r="G68" s="8" t="s">
        <v>1</v>
      </c>
      <c r="H68" s="8" t="s">
        <v>1</v>
      </c>
      <c r="I68" s="7" t="s">
        <v>41</v>
      </c>
      <c r="K68" s="1"/>
      <c r="L68" s="1"/>
    </row>
    <row r="69" spans="1:12" customFormat="1" x14ac:dyDescent="0.2">
      <c r="A69" s="9" t="s">
        <v>2507</v>
      </c>
      <c r="B69" s="8" t="s">
        <v>845</v>
      </c>
      <c r="C69" s="8">
        <v>91763</v>
      </c>
      <c r="D69" s="69" t="s">
        <v>844</v>
      </c>
      <c r="E69" s="8">
        <v>434.041</v>
      </c>
      <c r="F69" s="8" t="s">
        <v>1</v>
      </c>
      <c r="G69" s="8" t="s">
        <v>1</v>
      </c>
      <c r="H69" s="8" t="s">
        <v>1</v>
      </c>
      <c r="I69" s="7" t="s">
        <v>681</v>
      </c>
      <c r="K69" s="1"/>
      <c r="L69" s="1"/>
    </row>
    <row r="70" spans="1:12" customFormat="1" x14ac:dyDescent="0.2">
      <c r="A70" s="9" t="s">
        <v>2505</v>
      </c>
      <c r="B70" s="8" t="s">
        <v>843</v>
      </c>
      <c r="C70" s="8">
        <v>54960</v>
      </c>
      <c r="D70" s="69" t="s">
        <v>842</v>
      </c>
      <c r="E70" s="8">
        <v>410.08960000000002</v>
      </c>
      <c r="F70" s="8" t="s">
        <v>1</v>
      </c>
      <c r="G70" s="8" t="s">
        <v>1</v>
      </c>
      <c r="H70" s="8" t="s">
        <v>1</v>
      </c>
      <c r="I70" s="7" t="s">
        <v>0</v>
      </c>
      <c r="K70" s="1"/>
      <c r="L70" s="1"/>
    </row>
    <row r="71" spans="1:12" customFormat="1" x14ac:dyDescent="0.2">
      <c r="A71" s="9" t="s">
        <v>3153</v>
      </c>
      <c r="B71" s="8" t="s">
        <v>841</v>
      </c>
      <c r="C71" s="8">
        <v>73282</v>
      </c>
      <c r="D71" s="69" t="s">
        <v>840</v>
      </c>
      <c r="E71" s="8">
        <v>401.05610000000001</v>
      </c>
      <c r="F71" s="8" t="s">
        <v>1</v>
      </c>
      <c r="G71" s="8" t="s">
        <v>1</v>
      </c>
      <c r="H71" s="8" t="s">
        <v>1</v>
      </c>
      <c r="I71" s="7" t="s">
        <v>0</v>
      </c>
      <c r="K71" s="1"/>
      <c r="L71" s="1"/>
    </row>
    <row r="72" spans="1:12" customFormat="1" x14ac:dyDescent="0.2">
      <c r="A72" s="9" t="s">
        <v>3154</v>
      </c>
      <c r="B72" s="8" t="s">
        <v>839</v>
      </c>
      <c r="C72" s="8">
        <v>73281</v>
      </c>
      <c r="D72" s="69" t="s">
        <v>838</v>
      </c>
      <c r="E72" s="8">
        <v>410.10090000000002</v>
      </c>
      <c r="F72" s="8" t="s">
        <v>1</v>
      </c>
      <c r="G72" s="8" t="s">
        <v>1</v>
      </c>
      <c r="H72" s="8" t="s">
        <v>1</v>
      </c>
      <c r="I72" s="7" t="s">
        <v>38</v>
      </c>
      <c r="K72" s="1"/>
      <c r="L72" s="1"/>
    </row>
    <row r="73" spans="1:12" customFormat="1" x14ac:dyDescent="0.2">
      <c r="A73" s="9" t="s">
        <v>1254</v>
      </c>
      <c r="B73" s="8" t="s">
        <v>837</v>
      </c>
      <c r="C73" s="8">
        <v>52999</v>
      </c>
      <c r="D73" s="69" t="s">
        <v>836</v>
      </c>
      <c r="E73" s="8">
        <v>381.07429999999999</v>
      </c>
      <c r="F73" s="8" t="s">
        <v>1</v>
      </c>
      <c r="G73" s="8" t="s">
        <v>1</v>
      </c>
      <c r="H73" s="8" t="s">
        <v>1</v>
      </c>
      <c r="I73" s="7" t="s">
        <v>0</v>
      </c>
      <c r="K73" s="1"/>
      <c r="L73" s="1"/>
    </row>
    <row r="74" spans="1:12" customFormat="1" x14ac:dyDescent="0.2">
      <c r="A74" s="11" t="s">
        <v>835</v>
      </c>
      <c r="B74" s="10" t="s">
        <v>17</v>
      </c>
      <c r="C74" s="8" t="s">
        <v>17</v>
      </c>
      <c r="D74" s="69" t="s">
        <v>17</v>
      </c>
      <c r="E74" s="10" t="s">
        <v>17</v>
      </c>
      <c r="F74" s="8" t="s">
        <v>17</v>
      </c>
      <c r="G74" s="8" t="s">
        <v>17</v>
      </c>
      <c r="H74" s="10" t="s">
        <v>17</v>
      </c>
      <c r="I74" s="7" t="s">
        <v>17</v>
      </c>
      <c r="K74" s="1"/>
      <c r="L74" s="1"/>
    </row>
    <row r="75" spans="1:12" customFormat="1" x14ac:dyDescent="0.2">
      <c r="A75" s="9" t="s">
        <v>2768</v>
      </c>
      <c r="B75" s="8" t="s">
        <v>834</v>
      </c>
      <c r="C75" s="8">
        <v>16653</v>
      </c>
      <c r="D75" s="69" t="s">
        <v>833</v>
      </c>
      <c r="E75" s="8">
        <v>187.10310000000001</v>
      </c>
      <c r="F75" s="8" t="s">
        <v>9</v>
      </c>
      <c r="G75" s="8" t="s">
        <v>9</v>
      </c>
      <c r="H75" s="8" t="s">
        <v>1</v>
      </c>
      <c r="I75" s="7" t="s">
        <v>832</v>
      </c>
      <c r="K75" s="1"/>
      <c r="L75" s="1"/>
    </row>
    <row r="76" spans="1:12" customFormat="1" x14ac:dyDescent="0.2">
      <c r="A76" s="9" t="s">
        <v>1270</v>
      </c>
      <c r="B76" s="8" t="s">
        <v>831</v>
      </c>
      <c r="C76" s="8">
        <v>16003</v>
      </c>
      <c r="D76" s="69" t="s">
        <v>821</v>
      </c>
      <c r="E76" s="8">
        <v>203.1344</v>
      </c>
      <c r="F76" s="8" t="s">
        <v>1</v>
      </c>
      <c r="G76" s="8" t="s">
        <v>9</v>
      </c>
      <c r="H76" s="8" t="s">
        <v>1</v>
      </c>
      <c r="I76" s="7" t="s">
        <v>818</v>
      </c>
      <c r="K76" s="1"/>
      <c r="L76" s="1"/>
    </row>
    <row r="77" spans="1:12" customFormat="1" x14ac:dyDescent="0.2">
      <c r="A77" s="9" t="s">
        <v>1240</v>
      </c>
      <c r="B77" s="8" t="s">
        <v>830</v>
      </c>
      <c r="C77" s="8">
        <v>16181</v>
      </c>
      <c r="D77" s="69" t="s">
        <v>829</v>
      </c>
      <c r="E77" s="8">
        <v>217.15</v>
      </c>
      <c r="F77" s="8" t="s">
        <v>1</v>
      </c>
      <c r="G77" s="8" t="s">
        <v>9</v>
      </c>
      <c r="H77" s="8" t="s">
        <v>1</v>
      </c>
      <c r="I77" s="7" t="s">
        <v>818</v>
      </c>
      <c r="K77" s="1"/>
      <c r="L77" s="1"/>
    </row>
    <row r="78" spans="1:12" customFormat="1" x14ac:dyDescent="0.2">
      <c r="A78" s="9" t="s">
        <v>3354</v>
      </c>
      <c r="B78" s="8" t="s">
        <v>828</v>
      </c>
      <c r="C78" s="8">
        <v>12968</v>
      </c>
      <c r="D78" s="69" t="s">
        <v>827</v>
      </c>
      <c r="E78" s="8">
        <v>189.11869999999999</v>
      </c>
      <c r="F78" s="8" t="s">
        <v>1</v>
      </c>
      <c r="G78" s="8" t="s">
        <v>1</v>
      </c>
      <c r="H78" s="8" t="s">
        <v>1</v>
      </c>
      <c r="I78" s="7" t="s">
        <v>818</v>
      </c>
      <c r="K78" s="1"/>
      <c r="L78" s="1"/>
    </row>
    <row r="79" spans="1:12" customFormat="1" x14ac:dyDescent="0.2">
      <c r="A79" s="9" t="s">
        <v>2050</v>
      </c>
      <c r="B79" s="8" t="s">
        <v>826</v>
      </c>
      <c r="C79" s="8">
        <v>5543</v>
      </c>
      <c r="D79" s="69" t="s">
        <v>825</v>
      </c>
      <c r="E79" s="8">
        <v>303.0018</v>
      </c>
      <c r="F79" s="8" t="s">
        <v>1</v>
      </c>
      <c r="G79" s="8" t="s">
        <v>1</v>
      </c>
      <c r="H79" s="8" t="s">
        <v>1</v>
      </c>
      <c r="I79" s="7" t="s">
        <v>818</v>
      </c>
      <c r="K79" s="1"/>
      <c r="L79" s="1"/>
    </row>
    <row r="80" spans="1:12" customFormat="1" x14ac:dyDescent="0.2">
      <c r="A80" s="9" t="s">
        <v>2002</v>
      </c>
      <c r="B80" s="8" t="s">
        <v>824</v>
      </c>
      <c r="C80" s="8">
        <v>14337</v>
      </c>
      <c r="D80" s="69" t="s">
        <v>823</v>
      </c>
      <c r="E80" s="8">
        <v>215.1344</v>
      </c>
      <c r="F80" s="8" t="s">
        <v>1</v>
      </c>
      <c r="G80" s="8" t="s">
        <v>1</v>
      </c>
      <c r="H80" s="8" t="s">
        <v>1</v>
      </c>
      <c r="I80" s="7" t="s">
        <v>818</v>
      </c>
      <c r="K80" s="1"/>
      <c r="L80" s="1"/>
    </row>
    <row r="81" spans="1:12" customFormat="1" x14ac:dyDescent="0.2">
      <c r="A81" s="9" t="s">
        <v>3255</v>
      </c>
      <c r="B81" s="8" t="s">
        <v>822</v>
      </c>
      <c r="C81" s="8">
        <v>14215</v>
      </c>
      <c r="D81" s="69" t="s">
        <v>821</v>
      </c>
      <c r="E81" s="8">
        <v>203.1344</v>
      </c>
      <c r="F81" s="8" t="s">
        <v>1</v>
      </c>
      <c r="G81" s="8" t="s">
        <v>1</v>
      </c>
      <c r="H81" s="8" t="s">
        <v>1</v>
      </c>
      <c r="I81" s="7" t="s">
        <v>818</v>
      </c>
      <c r="K81" s="1"/>
      <c r="L81" s="1"/>
    </row>
    <row r="82" spans="1:12" customFormat="1" x14ac:dyDescent="0.2">
      <c r="A82" s="9" t="s">
        <v>1242</v>
      </c>
      <c r="B82" s="8" t="s">
        <v>820</v>
      </c>
      <c r="C82" s="8">
        <v>5284376</v>
      </c>
      <c r="D82" s="69" t="s">
        <v>819</v>
      </c>
      <c r="E82" s="8">
        <v>269.04079999999999</v>
      </c>
      <c r="F82" s="8" t="s">
        <v>1</v>
      </c>
      <c r="G82" s="8" t="s">
        <v>1</v>
      </c>
      <c r="H82" s="8">
        <v>3</v>
      </c>
      <c r="I82" s="7" t="s">
        <v>818</v>
      </c>
      <c r="K82" s="1"/>
      <c r="L82" s="1"/>
    </row>
    <row r="83" spans="1:12" customFormat="1" x14ac:dyDescent="0.2">
      <c r="A83" s="18" t="s">
        <v>817</v>
      </c>
      <c r="B83" s="10" t="s">
        <v>17</v>
      </c>
      <c r="C83" s="8" t="s">
        <v>17</v>
      </c>
      <c r="D83" s="69" t="s">
        <v>17</v>
      </c>
      <c r="E83" s="10" t="s">
        <v>17</v>
      </c>
      <c r="F83" s="8" t="s">
        <v>17</v>
      </c>
      <c r="G83" s="8" t="s">
        <v>17</v>
      </c>
      <c r="H83" s="10" t="s">
        <v>17</v>
      </c>
      <c r="I83" s="7" t="s">
        <v>17</v>
      </c>
      <c r="K83" s="1"/>
      <c r="L83" s="1"/>
    </row>
    <row r="84" spans="1:12" customFormat="1" x14ac:dyDescent="0.2">
      <c r="A84" s="9" t="s">
        <v>2109</v>
      </c>
      <c r="B84" s="8" t="s">
        <v>816</v>
      </c>
      <c r="C84" s="8">
        <v>22206</v>
      </c>
      <c r="D84" s="69" t="s">
        <v>814</v>
      </c>
      <c r="E84" s="8">
        <v>229.10939999999999</v>
      </c>
      <c r="F84" s="8" t="s">
        <v>9</v>
      </c>
      <c r="G84" s="8" t="s">
        <v>9</v>
      </c>
      <c r="H84" s="8" t="s">
        <v>1</v>
      </c>
      <c r="I84" s="7" t="s">
        <v>803</v>
      </c>
      <c r="K84" s="1"/>
      <c r="L84" s="1"/>
    </row>
    <row r="85" spans="1:12" customFormat="1" x14ac:dyDescent="0.2">
      <c r="A85" s="9" t="s">
        <v>3034</v>
      </c>
      <c r="B85" s="8" t="s">
        <v>815</v>
      </c>
      <c r="C85" s="8">
        <v>4937</v>
      </c>
      <c r="D85" s="69" t="s">
        <v>814</v>
      </c>
      <c r="E85" s="8">
        <v>229.10939999999999</v>
      </c>
      <c r="F85" s="8" t="s">
        <v>9</v>
      </c>
      <c r="G85" s="8" t="s">
        <v>1</v>
      </c>
      <c r="H85" s="8" t="s">
        <v>1</v>
      </c>
      <c r="I85" s="7" t="s">
        <v>803</v>
      </c>
      <c r="K85" s="1"/>
      <c r="L85" s="1"/>
    </row>
    <row r="86" spans="1:12" customFormat="1" x14ac:dyDescent="0.2">
      <c r="A86" s="9" t="s">
        <v>2760</v>
      </c>
      <c r="B86" s="8" t="s">
        <v>813</v>
      </c>
      <c r="C86" s="8">
        <v>39965</v>
      </c>
      <c r="D86" s="69" t="s">
        <v>812</v>
      </c>
      <c r="E86" s="8">
        <v>252.15860000000001</v>
      </c>
      <c r="F86" s="8" t="s">
        <v>1</v>
      </c>
      <c r="G86" s="8" t="s">
        <v>1</v>
      </c>
      <c r="H86" s="8" t="s">
        <v>1</v>
      </c>
      <c r="I86" s="7" t="s">
        <v>41</v>
      </c>
      <c r="K86" s="1"/>
      <c r="L86" s="1"/>
    </row>
    <row r="87" spans="1:12" customFormat="1" x14ac:dyDescent="0.2">
      <c r="A87" s="9" t="s">
        <v>3036</v>
      </c>
      <c r="B87" s="8" t="s">
        <v>811</v>
      </c>
      <c r="C87" s="8">
        <v>13450</v>
      </c>
      <c r="D87" s="69" t="s">
        <v>810</v>
      </c>
      <c r="E87" s="8">
        <v>241.1361</v>
      </c>
      <c r="F87" s="8" t="s">
        <v>1</v>
      </c>
      <c r="G87" s="8" t="s">
        <v>1</v>
      </c>
      <c r="H87" s="8" t="s">
        <v>1</v>
      </c>
      <c r="I87" s="7" t="s">
        <v>803</v>
      </c>
      <c r="K87" s="1"/>
      <c r="L87" s="1"/>
    </row>
    <row r="88" spans="1:12" customFormat="1" x14ac:dyDescent="0.2">
      <c r="A88" s="9" t="s">
        <v>3058</v>
      </c>
      <c r="B88" s="8" t="s">
        <v>809</v>
      </c>
      <c r="C88" s="8">
        <v>13905</v>
      </c>
      <c r="D88" s="69" t="s">
        <v>808</v>
      </c>
      <c r="E88" s="8">
        <v>213.10480000000001</v>
      </c>
      <c r="F88" s="8" t="s">
        <v>1</v>
      </c>
      <c r="G88" s="8" t="s">
        <v>1</v>
      </c>
      <c r="H88" s="8" t="s">
        <v>1</v>
      </c>
      <c r="I88" s="7" t="s">
        <v>803</v>
      </c>
      <c r="K88" s="1"/>
      <c r="L88" s="1"/>
    </row>
    <row r="89" spans="1:12" customFormat="1" x14ac:dyDescent="0.2">
      <c r="A89" s="9" t="s">
        <v>3040</v>
      </c>
      <c r="B89" s="8" t="s">
        <v>807</v>
      </c>
      <c r="C89" s="8">
        <v>15359</v>
      </c>
      <c r="D89" s="69" t="s">
        <v>806</v>
      </c>
      <c r="E89" s="8">
        <v>211.14330000000001</v>
      </c>
      <c r="F89" s="8" t="s">
        <v>1</v>
      </c>
      <c r="G89" s="8" t="s">
        <v>1</v>
      </c>
      <c r="H89" s="8" t="s">
        <v>1</v>
      </c>
      <c r="I89" s="7" t="s">
        <v>803</v>
      </c>
      <c r="K89" s="1"/>
      <c r="L89" s="1"/>
    </row>
    <row r="90" spans="1:12" customFormat="1" x14ac:dyDescent="0.2">
      <c r="A90" s="9" t="s">
        <v>2052</v>
      </c>
      <c r="B90" s="8" t="s">
        <v>805</v>
      </c>
      <c r="C90" s="8">
        <v>2256</v>
      </c>
      <c r="D90" s="69" t="s">
        <v>804</v>
      </c>
      <c r="E90" s="8">
        <v>215.09379999999999</v>
      </c>
      <c r="F90" s="8" t="s">
        <v>9</v>
      </c>
      <c r="G90" s="8" t="s">
        <v>9</v>
      </c>
      <c r="H90" s="8">
        <v>3</v>
      </c>
      <c r="I90" s="7" t="s">
        <v>803</v>
      </c>
      <c r="K90" s="1"/>
      <c r="L90" s="1"/>
    </row>
    <row r="91" spans="1:12" customFormat="1" x14ac:dyDescent="0.2">
      <c r="A91" s="18" t="s">
        <v>802</v>
      </c>
      <c r="B91" s="8"/>
      <c r="C91" s="8" t="s">
        <v>17</v>
      </c>
      <c r="D91" s="69"/>
      <c r="E91" s="8"/>
      <c r="F91" s="8" t="s">
        <v>17</v>
      </c>
      <c r="G91" s="8" t="s">
        <v>17</v>
      </c>
      <c r="H91" s="8"/>
      <c r="I91" s="7" t="s">
        <v>141</v>
      </c>
      <c r="K91" s="1"/>
      <c r="L91" s="1"/>
    </row>
    <row r="92" spans="1:12" customFormat="1" x14ac:dyDescent="0.2">
      <c r="A92" s="9" t="s">
        <v>2762</v>
      </c>
      <c r="B92" s="8" t="s">
        <v>801</v>
      </c>
      <c r="C92" s="8">
        <v>30479</v>
      </c>
      <c r="D92" s="69" t="s">
        <v>800</v>
      </c>
      <c r="E92" s="8">
        <v>214.08879999999999</v>
      </c>
      <c r="F92" s="8" t="s">
        <v>9</v>
      </c>
      <c r="G92" s="8" t="s">
        <v>1</v>
      </c>
      <c r="H92" s="8" t="s">
        <v>1</v>
      </c>
      <c r="I92" s="7" t="s">
        <v>395</v>
      </c>
      <c r="K92" s="1"/>
      <c r="L92" s="1"/>
    </row>
    <row r="93" spans="1:12" customFormat="1" x14ac:dyDescent="0.2">
      <c r="A93" s="11" t="s">
        <v>799</v>
      </c>
      <c r="B93" s="19" t="s">
        <v>17</v>
      </c>
      <c r="C93" s="8" t="s">
        <v>17</v>
      </c>
      <c r="D93" s="69" t="s">
        <v>17</v>
      </c>
      <c r="E93" s="19" t="s">
        <v>17</v>
      </c>
      <c r="F93" s="8" t="s">
        <v>17</v>
      </c>
      <c r="G93" s="8" t="s">
        <v>17</v>
      </c>
      <c r="H93" s="19" t="s">
        <v>17</v>
      </c>
      <c r="I93" s="7" t="s">
        <v>17</v>
      </c>
      <c r="K93" s="1"/>
      <c r="L93" s="1"/>
    </row>
    <row r="94" spans="1:12" customFormat="1" x14ac:dyDescent="0.2">
      <c r="A94" s="9" t="s">
        <v>2086</v>
      </c>
      <c r="B94" s="8" t="s">
        <v>798</v>
      </c>
      <c r="C94" s="8">
        <v>16559</v>
      </c>
      <c r="D94" s="69" t="s">
        <v>797</v>
      </c>
      <c r="E94" s="8">
        <v>234.13679999999999</v>
      </c>
      <c r="F94" s="8" t="s">
        <v>9</v>
      </c>
      <c r="G94" s="8" t="s">
        <v>1</v>
      </c>
      <c r="H94" s="8" t="s">
        <v>1</v>
      </c>
      <c r="I94" s="7" t="s">
        <v>524</v>
      </c>
      <c r="K94" s="1"/>
      <c r="L94" s="1"/>
    </row>
    <row r="95" spans="1:12" customFormat="1" x14ac:dyDescent="0.2">
      <c r="A95" s="9" t="s">
        <v>1239</v>
      </c>
      <c r="B95" s="8" t="s">
        <v>796</v>
      </c>
      <c r="C95" s="8">
        <v>9411</v>
      </c>
      <c r="D95" s="69" t="s">
        <v>795</v>
      </c>
      <c r="E95" s="8">
        <v>260.01600000000002</v>
      </c>
      <c r="F95" s="8" t="s">
        <v>1</v>
      </c>
      <c r="G95" s="8" t="s">
        <v>1</v>
      </c>
      <c r="H95" s="8" t="s">
        <v>1</v>
      </c>
      <c r="I95" s="7" t="s">
        <v>524</v>
      </c>
      <c r="K95" s="1"/>
      <c r="L95" s="1"/>
    </row>
    <row r="96" spans="1:12" customFormat="1" x14ac:dyDescent="0.2">
      <c r="A96" s="9" t="s">
        <v>1263</v>
      </c>
      <c r="B96" s="8" t="s">
        <v>794</v>
      </c>
      <c r="C96" s="8">
        <v>22188</v>
      </c>
      <c r="D96" s="69" t="s">
        <v>793</v>
      </c>
      <c r="E96" s="8">
        <v>216.06659999999999</v>
      </c>
      <c r="F96" s="8" t="s">
        <v>1</v>
      </c>
      <c r="G96" s="8" t="s">
        <v>1</v>
      </c>
      <c r="H96" s="8" t="s">
        <v>1</v>
      </c>
      <c r="I96" s="7" t="s">
        <v>524</v>
      </c>
      <c r="K96" s="1"/>
      <c r="L96" s="1"/>
    </row>
    <row r="97" spans="1:12" customFormat="1" x14ac:dyDescent="0.2">
      <c r="A97" s="11" t="s">
        <v>18</v>
      </c>
      <c r="B97" s="19" t="s">
        <v>17</v>
      </c>
      <c r="C97" s="8" t="s">
        <v>17</v>
      </c>
      <c r="D97" s="69" t="s">
        <v>17</v>
      </c>
      <c r="E97" s="19" t="s">
        <v>17</v>
      </c>
      <c r="F97" s="8" t="s">
        <v>17</v>
      </c>
      <c r="G97" s="8" t="s">
        <v>17</v>
      </c>
      <c r="H97" s="19" t="s">
        <v>17</v>
      </c>
      <c r="I97" s="7" t="s">
        <v>17</v>
      </c>
      <c r="K97" s="1"/>
      <c r="L97" s="1"/>
    </row>
    <row r="98" spans="1:12" customFormat="1" x14ac:dyDescent="0.2">
      <c r="A98" s="9" t="s">
        <v>2000</v>
      </c>
      <c r="B98" s="8" t="s">
        <v>792</v>
      </c>
      <c r="C98" s="8">
        <v>54778</v>
      </c>
      <c r="D98" s="69" t="s">
        <v>791</v>
      </c>
      <c r="E98" s="8">
        <v>239.07130000000001</v>
      </c>
      <c r="F98" s="8" t="s">
        <v>9</v>
      </c>
      <c r="G98" s="8" t="s">
        <v>1</v>
      </c>
      <c r="H98" s="8" t="s">
        <v>1</v>
      </c>
      <c r="I98" s="7" t="s">
        <v>0</v>
      </c>
      <c r="K98" s="1"/>
      <c r="L98" s="1"/>
    </row>
    <row r="99" spans="1:12" customFormat="1" x14ac:dyDescent="0.2">
      <c r="A99" s="9" t="s">
        <v>2032</v>
      </c>
      <c r="B99" s="8" t="s">
        <v>790</v>
      </c>
      <c r="C99" s="8">
        <v>29732</v>
      </c>
      <c r="D99" s="69" t="s">
        <v>789</v>
      </c>
      <c r="E99" s="8">
        <v>344.06950000000001</v>
      </c>
      <c r="F99" s="8" t="s">
        <v>9</v>
      </c>
      <c r="G99" s="8" t="s">
        <v>1</v>
      </c>
      <c r="H99" s="8" t="s">
        <v>1</v>
      </c>
      <c r="I99" s="7" t="s">
        <v>0</v>
      </c>
      <c r="K99" s="1"/>
      <c r="L99" s="1"/>
    </row>
    <row r="100" spans="1:12" customFormat="1" x14ac:dyDescent="0.2">
      <c r="A100" s="9" t="s">
        <v>2358</v>
      </c>
      <c r="B100" s="8" t="s">
        <v>788</v>
      </c>
      <c r="C100" s="8">
        <v>3030</v>
      </c>
      <c r="D100" s="69" t="s">
        <v>787</v>
      </c>
      <c r="E100" s="8">
        <v>219.96940000000001</v>
      </c>
      <c r="F100" s="8" t="s">
        <v>9</v>
      </c>
      <c r="G100" s="8" t="s">
        <v>1</v>
      </c>
      <c r="H100" s="8" t="s">
        <v>1</v>
      </c>
      <c r="I100" s="7" t="s">
        <v>0</v>
      </c>
      <c r="K100" s="1"/>
      <c r="L100" s="1"/>
    </row>
    <row r="101" spans="1:12" customFormat="1" x14ac:dyDescent="0.2">
      <c r="A101" s="9" t="s">
        <v>3342</v>
      </c>
      <c r="B101" s="8" t="s">
        <v>786</v>
      </c>
      <c r="C101" s="8">
        <v>43079</v>
      </c>
      <c r="D101" s="69" t="s">
        <v>785</v>
      </c>
      <c r="E101" s="8">
        <v>329.10270000000003</v>
      </c>
      <c r="F101" s="8" t="s">
        <v>1</v>
      </c>
      <c r="G101" s="8" t="s">
        <v>1</v>
      </c>
      <c r="H101" s="8" t="s">
        <v>1</v>
      </c>
      <c r="I101" s="7" t="s">
        <v>38</v>
      </c>
      <c r="K101" s="1"/>
      <c r="L101" s="1"/>
    </row>
    <row r="102" spans="1:12" customFormat="1" x14ac:dyDescent="0.2">
      <c r="A102" s="9" t="s">
        <v>2365</v>
      </c>
      <c r="B102" s="8" t="s">
        <v>784</v>
      </c>
      <c r="C102" s="8">
        <v>2328</v>
      </c>
      <c r="D102" s="69" t="s">
        <v>783</v>
      </c>
      <c r="E102" s="8">
        <v>240.05690000000001</v>
      </c>
      <c r="F102" s="8" t="s">
        <v>1</v>
      </c>
      <c r="G102" s="8" t="s">
        <v>1</v>
      </c>
      <c r="H102" s="8" t="s">
        <v>1</v>
      </c>
      <c r="I102" s="7" t="s">
        <v>782</v>
      </c>
      <c r="K102" s="1"/>
      <c r="L102" s="1"/>
    </row>
    <row r="103" spans="1:12" customFormat="1" x14ac:dyDescent="0.2">
      <c r="A103" s="9" t="s">
        <v>3136</v>
      </c>
      <c r="B103" s="8" t="s">
        <v>781</v>
      </c>
      <c r="C103" s="8">
        <v>3496</v>
      </c>
      <c r="D103" s="69" t="s">
        <v>780</v>
      </c>
      <c r="E103" s="8">
        <v>169.01400000000001</v>
      </c>
      <c r="F103" s="8" t="s">
        <v>9</v>
      </c>
      <c r="G103" s="8" t="s">
        <v>1</v>
      </c>
      <c r="H103" s="8" t="s">
        <v>332</v>
      </c>
      <c r="I103" s="7" t="s">
        <v>85</v>
      </c>
      <c r="K103" s="1"/>
      <c r="L103" s="1"/>
    </row>
    <row r="104" spans="1:12" customFormat="1" x14ac:dyDescent="0.2">
      <c r="A104" s="14" t="s">
        <v>779</v>
      </c>
      <c r="B104" s="8" t="s">
        <v>17</v>
      </c>
      <c r="C104" s="8" t="s">
        <v>17</v>
      </c>
      <c r="D104" s="69" t="s">
        <v>17</v>
      </c>
      <c r="E104" s="8" t="s">
        <v>17</v>
      </c>
      <c r="F104" s="8" t="s">
        <v>17</v>
      </c>
      <c r="G104" s="8" t="s">
        <v>17</v>
      </c>
      <c r="H104" s="8" t="s">
        <v>17</v>
      </c>
      <c r="I104" s="7" t="s">
        <v>17</v>
      </c>
      <c r="K104" s="1"/>
      <c r="L104" s="1"/>
    </row>
    <row r="105" spans="1:12" customFormat="1" x14ac:dyDescent="0.2">
      <c r="A105" s="18" t="s">
        <v>778</v>
      </c>
      <c r="B105" s="8" t="s">
        <v>17</v>
      </c>
      <c r="C105" s="8" t="s">
        <v>17</v>
      </c>
      <c r="D105" s="69" t="s">
        <v>17</v>
      </c>
      <c r="E105" s="8" t="s">
        <v>17</v>
      </c>
      <c r="F105" s="8" t="s">
        <v>17</v>
      </c>
      <c r="G105" s="8" t="s">
        <v>17</v>
      </c>
      <c r="H105" s="8" t="s">
        <v>17</v>
      </c>
      <c r="I105" s="7" t="s">
        <v>17</v>
      </c>
      <c r="K105" s="1"/>
      <c r="L105" s="1"/>
    </row>
    <row r="106" spans="1:12" customFormat="1" x14ac:dyDescent="0.2">
      <c r="A106" s="9" t="s">
        <v>2800</v>
      </c>
      <c r="B106" s="8" t="s">
        <v>777</v>
      </c>
      <c r="C106" s="8">
        <v>9595287</v>
      </c>
      <c r="D106" s="69" t="s">
        <v>776</v>
      </c>
      <c r="E106" s="8">
        <v>219.06780000000001</v>
      </c>
      <c r="F106" s="8" t="s">
        <v>9</v>
      </c>
      <c r="G106" s="8" t="s">
        <v>1</v>
      </c>
      <c r="H106" s="8" t="s">
        <v>1</v>
      </c>
      <c r="I106" s="7" t="s">
        <v>85</v>
      </c>
      <c r="K106" s="1"/>
      <c r="L106" s="1"/>
    </row>
    <row r="107" spans="1:12" customFormat="1" x14ac:dyDescent="0.2">
      <c r="A107" s="9" t="s">
        <v>1288</v>
      </c>
      <c r="B107" s="8" t="s">
        <v>775</v>
      </c>
      <c r="C107" s="8">
        <v>2566</v>
      </c>
      <c r="D107" s="69" t="s">
        <v>774</v>
      </c>
      <c r="E107" s="8">
        <v>221.1052</v>
      </c>
      <c r="F107" s="8" t="s">
        <v>9</v>
      </c>
      <c r="G107" s="8" t="s">
        <v>1</v>
      </c>
      <c r="H107" s="8" t="s">
        <v>1</v>
      </c>
      <c r="I107" s="7" t="s">
        <v>517</v>
      </c>
      <c r="K107" s="1"/>
      <c r="L107" s="1"/>
    </row>
    <row r="108" spans="1:12" customFormat="1" x14ac:dyDescent="0.2">
      <c r="A108" s="9" t="s">
        <v>3165</v>
      </c>
      <c r="B108" s="8" t="s">
        <v>773</v>
      </c>
      <c r="C108" s="8">
        <v>27975</v>
      </c>
      <c r="D108" s="69" t="s">
        <v>772</v>
      </c>
      <c r="E108" s="8">
        <v>237.1001</v>
      </c>
      <c r="F108" s="8" t="s">
        <v>1</v>
      </c>
      <c r="G108" s="8" t="s">
        <v>9</v>
      </c>
      <c r="H108" s="8" t="s">
        <v>1</v>
      </c>
      <c r="I108" s="7" t="s">
        <v>517</v>
      </c>
      <c r="K108" s="1"/>
      <c r="L108" s="1"/>
    </row>
    <row r="109" spans="1:12" customFormat="1" x14ac:dyDescent="0.2">
      <c r="A109" s="9" t="s">
        <v>2796</v>
      </c>
      <c r="B109" s="8" t="s">
        <v>771</v>
      </c>
      <c r="C109" s="8">
        <v>9568700</v>
      </c>
      <c r="D109" s="69" t="s">
        <v>770</v>
      </c>
      <c r="E109" s="8">
        <v>206.07249999999999</v>
      </c>
      <c r="F109" s="8" t="s">
        <v>1</v>
      </c>
      <c r="G109" s="8" t="s">
        <v>1</v>
      </c>
      <c r="H109" s="8" t="s">
        <v>1</v>
      </c>
      <c r="I109" s="7" t="s">
        <v>41</v>
      </c>
      <c r="K109" s="1"/>
      <c r="L109" s="1"/>
    </row>
    <row r="110" spans="1:12" customFormat="1" x14ac:dyDescent="0.2">
      <c r="A110" s="9" t="s">
        <v>3142</v>
      </c>
      <c r="B110" s="8" t="s">
        <v>769</v>
      </c>
      <c r="C110" s="8">
        <v>4944</v>
      </c>
      <c r="D110" s="69" t="s">
        <v>768</v>
      </c>
      <c r="E110" s="8">
        <v>209.1052</v>
      </c>
      <c r="F110" s="8" t="s">
        <v>1</v>
      </c>
      <c r="G110" s="8" t="s">
        <v>1</v>
      </c>
      <c r="H110" s="8" t="s">
        <v>1</v>
      </c>
      <c r="I110" s="7" t="s">
        <v>138</v>
      </c>
      <c r="K110" s="1"/>
      <c r="L110" s="1"/>
    </row>
    <row r="111" spans="1:12" customFormat="1" x14ac:dyDescent="0.2">
      <c r="A111" s="9" t="s">
        <v>1313</v>
      </c>
      <c r="B111" s="8" t="s">
        <v>767</v>
      </c>
      <c r="C111" s="8">
        <v>4109</v>
      </c>
      <c r="D111" s="69" t="s">
        <v>766</v>
      </c>
      <c r="E111" s="8">
        <v>162.0463</v>
      </c>
      <c r="F111" s="8" t="s">
        <v>1</v>
      </c>
      <c r="G111" s="8" t="s">
        <v>1</v>
      </c>
      <c r="H111" s="8" t="s">
        <v>1</v>
      </c>
      <c r="I111" s="7" t="s">
        <v>765</v>
      </c>
      <c r="K111" s="1"/>
      <c r="L111" s="1"/>
    </row>
    <row r="112" spans="1:12" customFormat="1" x14ac:dyDescent="0.2">
      <c r="A112" s="9" t="s">
        <v>2742</v>
      </c>
      <c r="B112" s="8" t="s">
        <v>764</v>
      </c>
      <c r="C112" s="8">
        <v>6129</v>
      </c>
      <c r="D112" s="69" t="s">
        <v>763</v>
      </c>
      <c r="E112" s="8">
        <v>201.07900000000001</v>
      </c>
      <c r="F112" s="8" t="s">
        <v>9</v>
      </c>
      <c r="G112" s="8" t="s">
        <v>1</v>
      </c>
      <c r="H112" s="8">
        <v>3</v>
      </c>
      <c r="I112" s="7" t="s">
        <v>361</v>
      </c>
      <c r="K112" s="1"/>
      <c r="L112" s="1"/>
    </row>
    <row r="113" spans="1:12" customFormat="1" x14ac:dyDescent="0.2">
      <c r="A113" s="9" t="s">
        <v>1281</v>
      </c>
      <c r="B113" s="8" t="s">
        <v>762</v>
      </c>
      <c r="C113" s="8">
        <v>9570071</v>
      </c>
      <c r="D113" s="69" t="s">
        <v>761</v>
      </c>
      <c r="E113" s="8">
        <v>190.07759999999999</v>
      </c>
      <c r="F113" s="8" t="s">
        <v>1</v>
      </c>
      <c r="G113" s="8" t="s">
        <v>9</v>
      </c>
      <c r="H113" s="8">
        <v>3</v>
      </c>
      <c r="I113" s="7" t="s">
        <v>760</v>
      </c>
      <c r="K113" s="1"/>
      <c r="L113" s="1"/>
    </row>
    <row r="114" spans="1:12" customFormat="1" x14ac:dyDescent="0.2">
      <c r="A114" s="18" t="s">
        <v>759</v>
      </c>
      <c r="B114" s="8" t="s">
        <v>17</v>
      </c>
      <c r="C114" s="8" t="s">
        <v>17</v>
      </c>
      <c r="D114" s="69" t="s">
        <v>17</v>
      </c>
      <c r="E114" s="8" t="s">
        <v>17</v>
      </c>
      <c r="F114" s="8" t="s">
        <v>17</v>
      </c>
      <c r="G114" s="8" t="s">
        <v>17</v>
      </c>
      <c r="H114" s="8" t="s">
        <v>17</v>
      </c>
      <c r="I114" s="7" t="s">
        <v>17</v>
      </c>
      <c r="K114" s="1"/>
      <c r="L114" s="1"/>
    </row>
    <row r="115" spans="1:12" customFormat="1" x14ac:dyDescent="0.2">
      <c r="A115" s="9" t="s">
        <v>2798</v>
      </c>
      <c r="B115" s="8" t="s">
        <v>758</v>
      </c>
      <c r="C115" s="8">
        <v>9570093</v>
      </c>
      <c r="D115" s="69" t="s">
        <v>757</v>
      </c>
      <c r="E115" s="8">
        <v>222.06739999999999</v>
      </c>
      <c r="F115" s="8" t="s">
        <v>1</v>
      </c>
      <c r="G115" s="8" t="s">
        <v>1</v>
      </c>
      <c r="H115" s="8" t="s">
        <v>1</v>
      </c>
      <c r="I115" s="7" t="s">
        <v>756</v>
      </c>
      <c r="K115" s="1"/>
      <c r="L115" s="1"/>
    </row>
    <row r="116" spans="1:12" customFormat="1" x14ac:dyDescent="0.2">
      <c r="A116" s="11" t="s">
        <v>755</v>
      </c>
      <c r="B116" s="8" t="s">
        <v>17</v>
      </c>
      <c r="C116" s="8" t="s">
        <v>17</v>
      </c>
      <c r="D116" s="69" t="s">
        <v>17</v>
      </c>
      <c r="E116" s="8" t="s">
        <v>17</v>
      </c>
      <c r="F116" s="8" t="s">
        <v>17</v>
      </c>
      <c r="G116" s="8" t="s">
        <v>17</v>
      </c>
      <c r="H116" s="8" t="s">
        <v>17</v>
      </c>
      <c r="I116" s="7" t="s">
        <v>17</v>
      </c>
      <c r="K116" s="1"/>
      <c r="L116" s="1"/>
    </row>
    <row r="117" spans="1:12" customFormat="1" x14ac:dyDescent="0.2">
      <c r="A117" s="9" t="s">
        <v>3264</v>
      </c>
      <c r="B117" s="8" t="s">
        <v>754</v>
      </c>
      <c r="C117" s="8">
        <v>4284</v>
      </c>
      <c r="D117" s="69" t="s">
        <v>753</v>
      </c>
      <c r="E117" s="8">
        <v>191.131</v>
      </c>
      <c r="F117" s="8" t="s">
        <v>1</v>
      </c>
      <c r="G117" s="8" t="s">
        <v>9</v>
      </c>
      <c r="H117" s="8" t="s">
        <v>1</v>
      </c>
      <c r="I117" s="7" t="s">
        <v>0</v>
      </c>
      <c r="K117" s="1"/>
      <c r="L117" s="1"/>
    </row>
    <row r="118" spans="1:12" customFormat="1" x14ac:dyDescent="0.2">
      <c r="A118" s="18" t="s">
        <v>752</v>
      </c>
      <c r="B118" s="8" t="s">
        <v>17</v>
      </c>
      <c r="C118" s="8" t="s">
        <v>17</v>
      </c>
      <c r="D118" s="69" t="s">
        <v>17</v>
      </c>
      <c r="E118" s="10" t="s">
        <v>17</v>
      </c>
      <c r="F118" s="8" t="s">
        <v>17</v>
      </c>
      <c r="G118" s="8" t="s">
        <v>17</v>
      </c>
      <c r="H118" s="8" t="s">
        <v>17</v>
      </c>
      <c r="I118" s="7" t="s">
        <v>17</v>
      </c>
      <c r="K118" s="1"/>
      <c r="L118" s="1"/>
    </row>
    <row r="119" spans="1:12" customFormat="1" x14ac:dyDescent="0.2">
      <c r="A119" s="9" t="s">
        <v>3558</v>
      </c>
      <c r="B119" s="8" t="s">
        <v>751</v>
      </c>
      <c r="C119" s="8">
        <v>727</v>
      </c>
      <c r="D119" s="69" t="s">
        <v>724</v>
      </c>
      <c r="E119" s="8">
        <v>287.86009999999999</v>
      </c>
      <c r="F119" s="8" t="s">
        <v>9</v>
      </c>
      <c r="G119" s="8" t="s">
        <v>1</v>
      </c>
      <c r="H119" s="8">
        <v>1</v>
      </c>
      <c r="I119" s="7" t="s">
        <v>265</v>
      </c>
      <c r="K119" s="1"/>
      <c r="L119" s="1"/>
    </row>
    <row r="120" spans="1:12" customFormat="1" x14ac:dyDescent="0.2">
      <c r="A120" s="9" t="s">
        <v>3351</v>
      </c>
      <c r="B120" s="8" t="s">
        <v>750</v>
      </c>
      <c r="C120" s="8">
        <v>6294</v>
      </c>
      <c r="D120" s="69" t="s">
        <v>749</v>
      </c>
      <c r="E120" s="8">
        <v>317.95370000000003</v>
      </c>
      <c r="F120" s="8" t="s">
        <v>9</v>
      </c>
      <c r="G120" s="8" t="s">
        <v>1</v>
      </c>
      <c r="H120" s="8" t="s">
        <v>1</v>
      </c>
      <c r="I120" s="7" t="s">
        <v>0</v>
      </c>
      <c r="K120" s="1"/>
      <c r="L120" s="1"/>
    </row>
    <row r="121" spans="1:12" customFormat="1" x14ac:dyDescent="0.2">
      <c r="A121" s="9" t="s">
        <v>3146</v>
      </c>
      <c r="B121" s="8" t="s">
        <v>748</v>
      </c>
      <c r="C121" s="8">
        <v>107734</v>
      </c>
      <c r="D121" s="69" t="s">
        <v>747</v>
      </c>
      <c r="E121" s="8">
        <v>409.82909999999998</v>
      </c>
      <c r="F121" s="8" t="s">
        <v>9</v>
      </c>
      <c r="G121" s="8" t="s">
        <v>1</v>
      </c>
      <c r="H121" s="8" t="s">
        <v>1</v>
      </c>
      <c r="I121" s="7" t="s">
        <v>66</v>
      </c>
      <c r="K121" s="1"/>
      <c r="L121" s="1"/>
    </row>
    <row r="122" spans="1:12" customFormat="1" x14ac:dyDescent="0.2">
      <c r="A122" s="9" t="s">
        <v>3556</v>
      </c>
      <c r="B122" s="8" t="s">
        <v>746</v>
      </c>
      <c r="C122" s="8">
        <v>4211</v>
      </c>
      <c r="D122" s="69" t="s">
        <v>729</v>
      </c>
      <c r="E122" s="8">
        <v>317.95370000000003</v>
      </c>
      <c r="F122" s="8" t="s">
        <v>9</v>
      </c>
      <c r="G122" s="8" t="s">
        <v>1</v>
      </c>
      <c r="H122" s="8" t="s">
        <v>1</v>
      </c>
      <c r="I122" s="7" t="s">
        <v>0</v>
      </c>
      <c r="K122" s="1"/>
      <c r="L122" s="1"/>
    </row>
    <row r="123" spans="1:12" customFormat="1" x14ac:dyDescent="0.2">
      <c r="A123" s="9" t="s">
        <v>3287</v>
      </c>
      <c r="B123" s="8" t="s">
        <v>745</v>
      </c>
      <c r="C123" s="8">
        <v>12309460</v>
      </c>
      <c r="D123" s="69" t="s">
        <v>744</v>
      </c>
      <c r="E123" s="8">
        <v>403.81689999999998</v>
      </c>
      <c r="F123" s="8" t="s">
        <v>9</v>
      </c>
      <c r="G123" s="8" t="s">
        <v>1</v>
      </c>
      <c r="H123" s="8" t="s">
        <v>1</v>
      </c>
      <c r="I123" s="7" t="s">
        <v>743</v>
      </c>
      <c r="K123" s="1"/>
      <c r="L123" s="1"/>
    </row>
    <row r="124" spans="1:12" customFormat="1" x14ac:dyDescent="0.2">
      <c r="A124" s="9" t="s">
        <v>1275</v>
      </c>
      <c r="B124" s="8" t="s">
        <v>742</v>
      </c>
      <c r="C124" s="8">
        <v>35405</v>
      </c>
      <c r="D124" s="69" t="s">
        <v>720</v>
      </c>
      <c r="E124" s="8">
        <v>344.0138</v>
      </c>
      <c r="F124" s="8" t="s">
        <v>1</v>
      </c>
      <c r="G124" s="8" t="s">
        <v>9</v>
      </c>
      <c r="H124" s="8" t="s">
        <v>1</v>
      </c>
      <c r="I124" s="7" t="s">
        <v>0</v>
      </c>
      <c r="K124" s="1"/>
      <c r="L124" s="1"/>
    </row>
    <row r="125" spans="1:12" customFormat="1" x14ac:dyDescent="0.2">
      <c r="A125" s="9" t="s">
        <v>1302</v>
      </c>
      <c r="B125" s="8" t="s">
        <v>741</v>
      </c>
      <c r="C125" s="8">
        <v>6295</v>
      </c>
      <c r="D125" s="69" t="s">
        <v>740</v>
      </c>
      <c r="E125" s="8">
        <v>306.0942</v>
      </c>
      <c r="F125" s="8" t="s">
        <v>1</v>
      </c>
      <c r="G125" s="8" t="s">
        <v>9</v>
      </c>
      <c r="H125" s="8" t="s">
        <v>1</v>
      </c>
      <c r="I125" s="7" t="s">
        <v>66</v>
      </c>
      <c r="K125" s="1"/>
      <c r="L125" s="1"/>
    </row>
    <row r="126" spans="1:12" customFormat="1" x14ac:dyDescent="0.2">
      <c r="A126" s="9" t="s">
        <v>3309</v>
      </c>
      <c r="B126" s="8" t="s">
        <v>739</v>
      </c>
      <c r="C126" s="8">
        <v>75048</v>
      </c>
      <c r="D126" s="69" t="s">
        <v>738</v>
      </c>
      <c r="E126" s="8">
        <v>308.03710000000001</v>
      </c>
      <c r="F126" s="8" t="s">
        <v>1</v>
      </c>
      <c r="G126" s="8" t="s">
        <v>1</v>
      </c>
      <c r="H126" s="8" t="s">
        <v>1</v>
      </c>
      <c r="I126" s="7" t="s">
        <v>0</v>
      </c>
      <c r="K126" s="1"/>
      <c r="L126" s="1"/>
    </row>
    <row r="127" spans="1:12" customFormat="1" x14ac:dyDescent="0.2">
      <c r="A127" s="9" t="s">
        <v>3359</v>
      </c>
      <c r="B127" s="8" t="s">
        <v>737</v>
      </c>
      <c r="C127" s="8">
        <v>6635</v>
      </c>
      <c r="D127" s="69" t="s">
        <v>736</v>
      </c>
      <c r="E127" s="8">
        <v>301.95710000000003</v>
      </c>
      <c r="F127" s="8" t="s">
        <v>1</v>
      </c>
      <c r="G127" s="8" t="s">
        <v>1</v>
      </c>
      <c r="H127" s="8" t="s">
        <v>1</v>
      </c>
      <c r="I127" s="7" t="s">
        <v>0</v>
      </c>
      <c r="K127" s="1"/>
      <c r="L127" s="1"/>
    </row>
    <row r="128" spans="1:12" customFormat="1" x14ac:dyDescent="0.2">
      <c r="A128" s="9" t="s">
        <v>3155</v>
      </c>
      <c r="B128" s="8" t="s">
        <v>735</v>
      </c>
      <c r="C128" s="8">
        <v>12313421</v>
      </c>
      <c r="D128" s="69" t="s">
        <v>734</v>
      </c>
      <c r="E128" s="8">
        <v>439.75880000000001</v>
      </c>
      <c r="F128" s="8" t="s">
        <v>1</v>
      </c>
      <c r="G128" s="8" t="s">
        <v>1</v>
      </c>
      <c r="H128" s="8" t="s">
        <v>1</v>
      </c>
      <c r="I128" s="7" t="s">
        <v>531</v>
      </c>
      <c r="K128" s="1"/>
      <c r="L128" s="1"/>
    </row>
    <row r="129" spans="1:12" customFormat="1" x14ac:dyDescent="0.2">
      <c r="A129" s="9" t="s">
        <v>3147</v>
      </c>
      <c r="B129" s="8" t="s">
        <v>733</v>
      </c>
      <c r="C129" s="8">
        <v>101689439</v>
      </c>
      <c r="D129" s="69" t="s">
        <v>732</v>
      </c>
      <c r="E129" s="8">
        <v>443.7901</v>
      </c>
      <c r="F129" s="8" t="s">
        <v>1</v>
      </c>
      <c r="G129" s="8" t="s">
        <v>1</v>
      </c>
      <c r="H129" s="8" t="s">
        <v>1</v>
      </c>
      <c r="I129" s="7" t="s">
        <v>66</v>
      </c>
      <c r="K129" s="1"/>
      <c r="L129" s="1"/>
    </row>
    <row r="130" spans="1:12" customFormat="1" x14ac:dyDescent="0.2">
      <c r="A130" s="9" t="s">
        <v>3323</v>
      </c>
      <c r="B130" s="8" t="s">
        <v>731</v>
      </c>
      <c r="C130" s="8">
        <v>3036</v>
      </c>
      <c r="D130" s="69" t="s">
        <v>729</v>
      </c>
      <c r="E130" s="8">
        <v>351.91469999999998</v>
      </c>
      <c r="F130" s="8" t="s">
        <v>9</v>
      </c>
      <c r="G130" s="8" t="s">
        <v>1</v>
      </c>
      <c r="H130" s="8" t="s">
        <v>332</v>
      </c>
      <c r="I130" s="7" t="s">
        <v>0</v>
      </c>
      <c r="K130" s="1"/>
      <c r="L130" s="1"/>
    </row>
    <row r="131" spans="1:12" customFormat="1" x14ac:dyDescent="0.2">
      <c r="A131" s="9" t="s">
        <v>3355</v>
      </c>
      <c r="B131" s="8" t="s">
        <v>730</v>
      </c>
      <c r="C131" s="8">
        <v>13089</v>
      </c>
      <c r="D131" s="69" t="s">
        <v>729</v>
      </c>
      <c r="E131" s="8">
        <v>351.91469999999998</v>
      </c>
      <c r="F131" s="8" t="s">
        <v>9</v>
      </c>
      <c r="G131" s="8" t="s">
        <v>1</v>
      </c>
      <c r="H131" s="8" t="s">
        <v>69</v>
      </c>
      <c r="I131" s="7" t="s">
        <v>0</v>
      </c>
      <c r="K131" s="1"/>
      <c r="L131" s="1"/>
    </row>
    <row r="132" spans="1:12" customFormat="1" x14ac:dyDescent="0.2">
      <c r="A132" s="9" t="s">
        <v>3557</v>
      </c>
      <c r="B132" s="8" t="s">
        <v>728</v>
      </c>
      <c r="C132" s="8">
        <v>727</v>
      </c>
      <c r="D132" s="69" t="s">
        <v>724</v>
      </c>
      <c r="E132" s="8">
        <v>287.86009999999999</v>
      </c>
      <c r="F132" s="8" t="s">
        <v>9</v>
      </c>
      <c r="G132" s="8" t="s">
        <v>1</v>
      </c>
      <c r="H132" s="8" t="s">
        <v>69</v>
      </c>
      <c r="I132" s="7" t="s">
        <v>265</v>
      </c>
      <c r="K132" s="1"/>
      <c r="L132" s="1"/>
    </row>
    <row r="133" spans="1:12" customFormat="1" x14ac:dyDescent="0.2">
      <c r="A133" s="9" t="s">
        <v>3279</v>
      </c>
      <c r="B133" s="8" t="s">
        <v>727</v>
      </c>
      <c r="C133" s="8">
        <v>3035</v>
      </c>
      <c r="D133" s="69" t="s">
        <v>726</v>
      </c>
      <c r="E133" s="8">
        <v>315.93799999999999</v>
      </c>
      <c r="F133" s="8" t="s">
        <v>9</v>
      </c>
      <c r="G133" s="8" t="s">
        <v>1</v>
      </c>
      <c r="H133" s="8" t="s">
        <v>69</v>
      </c>
      <c r="I133" s="7" t="s">
        <v>0</v>
      </c>
      <c r="K133" s="1"/>
      <c r="L133" s="1"/>
    </row>
    <row r="134" spans="1:12" customFormat="1" x14ac:dyDescent="0.2">
      <c r="A134" s="9" t="s">
        <v>3315</v>
      </c>
      <c r="B134" s="8" t="s">
        <v>725</v>
      </c>
      <c r="C134" s="8">
        <v>727</v>
      </c>
      <c r="D134" s="69" t="s">
        <v>724</v>
      </c>
      <c r="E134" s="8">
        <v>287.86009999999999</v>
      </c>
      <c r="F134" s="8" t="s">
        <v>1</v>
      </c>
      <c r="G134" s="8" t="s">
        <v>1</v>
      </c>
      <c r="H134" s="8" t="s">
        <v>69</v>
      </c>
      <c r="I134" s="7" t="s">
        <v>265</v>
      </c>
      <c r="K134" s="1"/>
      <c r="L134" s="1"/>
    </row>
    <row r="135" spans="1:12" customFormat="1" x14ac:dyDescent="0.2">
      <c r="A135" s="9" t="s">
        <v>2818</v>
      </c>
      <c r="B135" s="8" t="s">
        <v>723</v>
      </c>
      <c r="C135" s="8">
        <v>8809</v>
      </c>
      <c r="D135" s="69" t="s">
        <v>722</v>
      </c>
      <c r="E135" s="8">
        <v>334.10059999999999</v>
      </c>
      <c r="F135" s="8" t="s">
        <v>1</v>
      </c>
      <c r="G135" s="8" t="s">
        <v>1</v>
      </c>
      <c r="H135" s="8" t="s">
        <v>69</v>
      </c>
      <c r="I135" s="7" t="s">
        <v>0</v>
      </c>
      <c r="K135" s="1"/>
      <c r="L135" s="1"/>
    </row>
    <row r="136" spans="1:12" customFormat="1" x14ac:dyDescent="0.2">
      <c r="A136" s="9" t="s">
        <v>1769</v>
      </c>
      <c r="B136" s="8" t="s">
        <v>721</v>
      </c>
      <c r="C136" s="8">
        <v>4115</v>
      </c>
      <c r="D136" s="69" t="s">
        <v>720</v>
      </c>
      <c r="E136" s="8">
        <v>344.0138</v>
      </c>
      <c r="F136" s="8" t="s">
        <v>9</v>
      </c>
      <c r="G136" s="8" t="s">
        <v>9</v>
      </c>
      <c r="H136" s="8">
        <v>3</v>
      </c>
      <c r="I136" s="7" t="s">
        <v>0</v>
      </c>
      <c r="K136" s="1"/>
      <c r="L136" s="1"/>
    </row>
    <row r="137" spans="1:12" customFormat="1" x14ac:dyDescent="0.2">
      <c r="A137" s="17" t="s">
        <v>719</v>
      </c>
      <c r="B137" s="8" t="s">
        <v>17</v>
      </c>
      <c r="C137" s="8" t="s">
        <v>17</v>
      </c>
      <c r="D137" s="69" t="s">
        <v>17</v>
      </c>
      <c r="E137" s="10" t="s">
        <v>17</v>
      </c>
      <c r="F137" s="8" t="s">
        <v>17</v>
      </c>
      <c r="G137" s="8" t="s">
        <v>17</v>
      </c>
      <c r="H137" s="8" t="s">
        <v>17</v>
      </c>
      <c r="I137" s="7" t="s">
        <v>17</v>
      </c>
      <c r="K137" s="1"/>
      <c r="L137" s="1"/>
    </row>
    <row r="138" spans="1:12" customFormat="1" x14ac:dyDescent="0.2">
      <c r="A138" s="9" t="s">
        <v>3104</v>
      </c>
      <c r="B138" s="8" t="s">
        <v>718</v>
      </c>
      <c r="C138" s="8">
        <v>5053</v>
      </c>
      <c r="D138" s="69" t="s">
        <v>717</v>
      </c>
      <c r="E138" s="8">
        <v>338.18819999999999</v>
      </c>
      <c r="F138" s="8" t="s">
        <v>9</v>
      </c>
      <c r="G138" s="8" t="s">
        <v>9</v>
      </c>
      <c r="H138" s="8" t="s">
        <v>1</v>
      </c>
      <c r="I138" s="7" t="s">
        <v>66</v>
      </c>
      <c r="K138" s="1"/>
      <c r="L138" s="1"/>
    </row>
    <row r="139" spans="1:12" customFormat="1" x14ac:dyDescent="0.2">
      <c r="A139" s="9" t="s">
        <v>1874</v>
      </c>
      <c r="B139" s="8" t="s">
        <v>716</v>
      </c>
      <c r="C139" s="8">
        <v>34526</v>
      </c>
      <c r="D139" s="69" t="s">
        <v>715</v>
      </c>
      <c r="E139" s="8">
        <v>305.09629999999999</v>
      </c>
      <c r="F139" s="8" t="s">
        <v>9</v>
      </c>
      <c r="G139" s="8" t="s">
        <v>1</v>
      </c>
      <c r="H139" s="8" t="s">
        <v>1</v>
      </c>
      <c r="I139" s="7" t="s">
        <v>661</v>
      </c>
      <c r="K139" s="1"/>
      <c r="L139" s="1"/>
    </row>
    <row r="140" spans="1:12" customFormat="1" x14ac:dyDescent="0.2">
      <c r="A140" s="9" t="s">
        <v>2178</v>
      </c>
      <c r="B140" s="8" t="s">
        <v>714</v>
      </c>
      <c r="C140" s="8">
        <v>3346</v>
      </c>
      <c r="D140" s="69" t="s">
        <v>713</v>
      </c>
      <c r="E140" s="8">
        <v>278.02</v>
      </c>
      <c r="F140" s="8" t="s">
        <v>9</v>
      </c>
      <c r="G140" s="8" t="s">
        <v>1</v>
      </c>
      <c r="H140" s="8" t="s">
        <v>1</v>
      </c>
      <c r="I140" s="7" t="s">
        <v>661</v>
      </c>
      <c r="K140" s="1"/>
      <c r="L140" s="1"/>
    </row>
    <row r="141" spans="1:12" customFormat="1" x14ac:dyDescent="0.2">
      <c r="A141" s="9" t="s">
        <v>3270</v>
      </c>
      <c r="B141" s="8" t="s">
        <v>712</v>
      </c>
      <c r="C141" s="8">
        <v>2730</v>
      </c>
      <c r="D141" s="69" t="s">
        <v>711</v>
      </c>
      <c r="E141" s="8">
        <v>348.92630000000003</v>
      </c>
      <c r="F141" s="8" t="s">
        <v>9</v>
      </c>
      <c r="G141" s="8" t="s">
        <v>1</v>
      </c>
      <c r="H141" s="8" t="s">
        <v>1</v>
      </c>
      <c r="I141" s="7" t="s">
        <v>661</v>
      </c>
      <c r="K141" s="1"/>
      <c r="L141" s="1"/>
    </row>
    <row r="142" spans="1:12" customFormat="1" x14ac:dyDescent="0.2">
      <c r="A142" s="9" t="s">
        <v>1321</v>
      </c>
      <c r="B142" s="8" t="s">
        <v>710</v>
      </c>
      <c r="C142" s="8">
        <v>26124</v>
      </c>
      <c r="D142" s="69" t="s">
        <v>709</v>
      </c>
      <c r="E142" s="8">
        <v>298.05410000000001</v>
      </c>
      <c r="F142" s="8" t="s">
        <v>9</v>
      </c>
      <c r="G142" s="8" t="s">
        <v>1</v>
      </c>
      <c r="H142" s="8" t="s">
        <v>1</v>
      </c>
      <c r="I142" s="7" t="s">
        <v>708</v>
      </c>
      <c r="K142" s="1"/>
      <c r="L142" s="1"/>
    </row>
    <row r="143" spans="1:12" customFormat="1" x14ac:dyDescent="0.2">
      <c r="A143" s="9" t="s">
        <v>3312</v>
      </c>
      <c r="B143" s="8" t="s">
        <v>707</v>
      </c>
      <c r="C143" s="8">
        <v>17531</v>
      </c>
      <c r="D143" s="69" t="s">
        <v>706</v>
      </c>
      <c r="E143" s="8">
        <v>345.03710000000001</v>
      </c>
      <c r="F143" s="8" t="s">
        <v>1</v>
      </c>
      <c r="G143" s="8" t="s">
        <v>9</v>
      </c>
      <c r="H143" s="8" t="s">
        <v>1</v>
      </c>
      <c r="I143" s="7" t="s">
        <v>705</v>
      </c>
      <c r="K143" s="1"/>
      <c r="L143" s="1"/>
    </row>
    <row r="144" spans="1:12" customFormat="1" x14ac:dyDescent="0.2">
      <c r="A144" s="9" t="s">
        <v>915</v>
      </c>
      <c r="B144" s="8" t="s">
        <v>704</v>
      </c>
      <c r="C144" s="8">
        <v>70446</v>
      </c>
      <c r="D144" s="69" t="s">
        <v>703</v>
      </c>
      <c r="E144" s="8">
        <v>302.10480000000001</v>
      </c>
      <c r="F144" s="8" t="s">
        <v>1</v>
      </c>
      <c r="G144" s="8" t="s">
        <v>9</v>
      </c>
      <c r="H144" s="8" t="s">
        <v>1</v>
      </c>
      <c r="I144" s="7" t="s">
        <v>702</v>
      </c>
      <c r="K144" s="1"/>
      <c r="L144" s="1"/>
    </row>
    <row r="145" spans="1:12" customFormat="1" x14ac:dyDescent="0.2">
      <c r="A145" s="9" t="s">
        <v>3294</v>
      </c>
      <c r="B145" s="8" t="s">
        <v>701</v>
      </c>
      <c r="C145" s="8">
        <v>168140</v>
      </c>
      <c r="D145" s="69" t="s">
        <v>700</v>
      </c>
      <c r="E145" s="8">
        <v>141.9854</v>
      </c>
      <c r="F145" s="8" t="s">
        <v>1</v>
      </c>
      <c r="G145" s="8" t="s">
        <v>1</v>
      </c>
      <c r="H145" s="8" t="s">
        <v>1</v>
      </c>
      <c r="I145" s="7" t="s">
        <v>661</v>
      </c>
      <c r="K145" s="1"/>
      <c r="L145" s="1"/>
    </row>
    <row r="146" spans="1:12" customFormat="1" x14ac:dyDescent="0.2">
      <c r="A146" s="9" t="s">
        <v>3318</v>
      </c>
      <c r="B146" s="8" t="s">
        <v>699</v>
      </c>
      <c r="C146" s="8">
        <v>6108489</v>
      </c>
      <c r="D146" s="69" t="s">
        <v>698</v>
      </c>
      <c r="E146" s="8">
        <v>401.91899999999998</v>
      </c>
      <c r="F146" s="8" t="s">
        <v>1</v>
      </c>
      <c r="G146" s="8" t="s">
        <v>1</v>
      </c>
      <c r="H146" s="8" t="s">
        <v>1</v>
      </c>
      <c r="I146" s="7" t="s">
        <v>0</v>
      </c>
      <c r="K146" s="1"/>
      <c r="L146" s="1"/>
    </row>
    <row r="147" spans="1:12" customFormat="1" x14ac:dyDescent="0.2">
      <c r="A147" s="9" t="s">
        <v>1872</v>
      </c>
      <c r="B147" s="8" t="s">
        <v>697</v>
      </c>
      <c r="C147" s="8">
        <v>31957</v>
      </c>
      <c r="D147" s="69" t="s">
        <v>696</v>
      </c>
      <c r="E147" s="8">
        <v>333.12759999999997</v>
      </c>
      <c r="F147" s="8" t="s">
        <v>1</v>
      </c>
      <c r="G147" s="8" t="s">
        <v>1</v>
      </c>
      <c r="H147" s="8" t="s">
        <v>1</v>
      </c>
      <c r="I147" s="7" t="s">
        <v>661</v>
      </c>
      <c r="K147" s="1"/>
      <c r="L147" s="1"/>
    </row>
    <row r="148" spans="1:12" customFormat="1" x14ac:dyDescent="0.2">
      <c r="A148" s="9" t="s">
        <v>3296</v>
      </c>
      <c r="B148" s="8" t="s">
        <v>695</v>
      </c>
      <c r="C148" s="8">
        <v>8381</v>
      </c>
      <c r="D148" s="69" t="s">
        <v>694</v>
      </c>
      <c r="E148" s="8">
        <v>340.06470000000002</v>
      </c>
      <c r="F148" s="8" t="s">
        <v>1</v>
      </c>
      <c r="G148" s="8" t="s">
        <v>1</v>
      </c>
      <c r="H148" s="8" t="s">
        <v>1</v>
      </c>
      <c r="I148" s="7" t="s">
        <v>661</v>
      </c>
      <c r="K148" s="1"/>
      <c r="L148" s="1"/>
    </row>
    <row r="149" spans="1:12" customFormat="1" x14ac:dyDescent="0.2">
      <c r="A149" s="9" t="s">
        <v>2162</v>
      </c>
      <c r="B149" s="8" t="s">
        <v>693</v>
      </c>
      <c r="C149" s="8">
        <v>30859</v>
      </c>
      <c r="D149" s="69" t="s">
        <v>692</v>
      </c>
      <c r="E149" s="8">
        <v>359.95769999999999</v>
      </c>
      <c r="F149" s="8" t="s">
        <v>1</v>
      </c>
      <c r="G149" s="8" t="s">
        <v>1</v>
      </c>
      <c r="H149" s="8" t="s">
        <v>1</v>
      </c>
      <c r="I149" s="7" t="s">
        <v>661</v>
      </c>
      <c r="K149" s="1"/>
      <c r="L149" s="1"/>
    </row>
    <row r="150" spans="1:12" customFormat="1" x14ac:dyDescent="0.2">
      <c r="A150" s="9" t="s">
        <v>2180</v>
      </c>
      <c r="B150" s="8" t="s">
        <v>691</v>
      </c>
      <c r="C150" s="8">
        <v>28935</v>
      </c>
      <c r="D150" s="69" t="s">
        <v>690</v>
      </c>
      <c r="E150" s="8">
        <v>411.83530000000002</v>
      </c>
      <c r="F150" s="8" t="s">
        <v>1</v>
      </c>
      <c r="G150" s="8" t="s">
        <v>1</v>
      </c>
      <c r="H150" s="8" t="s">
        <v>1</v>
      </c>
      <c r="I150" s="7" t="s">
        <v>661</v>
      </c>
      <c r="K150" s="1"/>
      <c r="L150" s="1"/>
    </row>
    <row r="151" spans="1:12" customFormat="1" x14ac:dyDescent="0.2">
      <c r="A151" s="9" t="s">
        <v>2222</v>
      </c>
      <c r="B151" s="8" t="s">
        <v>689</v>
      </c>
      <c r="C151" s="8">
        <v>32184</v>
      </c>
      <c r="D151" s="69" t="s">
        <v>688</v>
      </c>
      <c r="E151" s="8">
        <v>313.065</v>
      </c>
      <c r="F151" s="8" t="s">
        <v>1</v>
      </c>
      <c r="G151" s="8" t="s">
        <v>1</v>
      </c>
      <c r="H151" s="8" t="s">
        <v>1</v>
      </c>
      <c r="I151" s="7" t="s">
        <v>681</v>
      </c>
      <c r="K151" s="1"/>
      <c r="L151" s="1"/>
    </row>
    <row r="152" spans="1:12" customFormat="1" x14ac:dyDescent="0.2">
      <c r="A152" s="9" t="s">
        <v>2173</v>
      </c>
      <c r="B152" s="8" t="s">
        <v>687</v>
      </c>
      <c r="C152" s="8">
        <v>31070</v>
      </c>
      <c r="D152" s="69" t="s">
        <v>686</v>
      </c>
      <c r="E152" s="8">
        <v>303.10579999999999</v>
      </c>
      <c r="F152" s="8" t="s">
        <v>1</v>
      </c>
      <c r="G152" s="8" t="s">
        <v>1</v>
      </c>
      <c r="H152" s="8" t="s">
        <v>1</v>
      </c>
      <c r="I152" s="7" t="s">
        <v>0</v>
      </c>
      <c r="K152" s="1"/>
      <c r="L152" s="1"/>
    </row>
    <row r="153" spans="1:12" customFormat="1" x14ac:dyDescent="0.2">
      <c r="A153" s="9" t="s">
        <v>2210</v>
      </c>
      <c r="B153" s="8" t="s">
        <v>685</v>
      </c>
      <c r="C153" s="8">
        <v>3118</v>
      </c>
      <c r="D153" s="69" t="s">
        <v>684</v>
      </c>
      <c r="E153" s="8">
        <v>274.02850000000001</v>
      </c>
      <c r="F153" s="8" t="s">
        <v>1</v>
      </c>
      <c r="G153" s="8" t="s">
        <v>1</v>
      </c>
      <c r="H153" s="8" t="s">
        <v>1</v>
      </c>
      <c r="I153" s="7" t="s">
        <v>674</v>
      </c>
      <c r="K153" s="1"/>
      <c r="L153" s="1"/>
    </row>
    <row r="154" spans="1:12" customFormat="1" x14ac:dyDescent="0.2">
      <c r="A154" s="9" t="s">
        <v>1876</v>
      </c>
      <c r="B154" s="8" t="s">
        <v>683</v>
      </c>
      <c r="C154" s="8">
        <v>93460</v>
      </c>
      <c r="D154" s="69" t="s">
        <v>682</v>
      </c>
      <c r="E154" s="8">
        <v>360.04640000000001</v>
      </c>
      <c r="F154" s="8" t="s">
        <v>1</v>
      </c>
      <c r="G154" s="8" t="s">
        <v>1</v>
      </c>
      <c r="H154" s="8" t="s">
        <v>1</v>
      </c>
      <c r="I154" s="7" t="s">
        <v>681</v>
      </c>
      <c r="K154" s="1"/>
      <c r="L154" s="1"/>
    </row>
    <row r="155" spans="1:12" customFormat="1" x14ac:dyDescent="0.2">
      <c r="A155" s="9" t="s">
        <v>2199</v>
      </c>
      <c r="B155" s="8" t="s">
        <v>680</v>
      </c>
      <c r="C155" s="8">
        <v>37125</v>
      </c>
      <c r="D155" s="69" t="s">
        <v>679</v>
      </c>
      <c r="E155" s="8">
        <v>322.02850000000001</v>
      </c>
      <c r="F155" s="8" t="s">
        <v>1</v>
      </c>
      <c r="G155" s="8" t="s">
        <v>1</v>
      </c>
      <c r="H155" s="8" t="s">
        <v>1</v>
      </c>
      <c r="I155" s="7" t="s">
        <v>0</v>
      </c>
      <c r="K155" s="1"/>
      <c r="L155" s="1"/>
    </row>
    <row r="156" spans="1:12" customFormat="1" x14ac:dyDescent="0.2">
      <c r="A156" s="9" t="s">
        <v>2216</v>
      </c>
      <c r="B156" s="8" t="s">
        <v>678</v>
      </c>
      <c r="C156" s="8">
        <v>5355863</v>
      </c>
      <c r="D156" s="69" t="s">
        <v>677</v>
      </c>
      <c r="E156" s="8">
        <v>224.04499999999999</v>
      </c>
      <c r="F156" s="8" t="s">
        <v>1</v>
      </c>
      <c r="G156" s="8" t="s">
        <v>1</v>
      </c>
      <c r="H156" s="8" t="s">
        <v>1</v>
      </c>
      <c r="I156" s="7" t="s">
        <v>6</v>
      </c>
      <c r="K156" s="1"/>
      <c r="L156" s="1"/>
    </row>
    <row r="157" spans="1:12" customFormat="1" x14ac:dyDescent="0.2">
      <c r="A157" s="9" t="s">
        <v>2219</v>
      </c>
      <c r="B157" s="8" t="s">
        <v>676</v>
      </c>
      <c r="C157" s="8">
        <v>4790</v>
      </c>
      <c r="D157" s="69" t="s">
        <v>675</v>
      </c>
      <c r="E157" s="8">
        <v>260.01280000000003</v>
      </c>
      <c r="F157" s="8" t="s">
        <v>1</v>
      </c>
      <c r="G157" s="8" t="s">
        <v>1</v>
      </c>
      <c r="H157" s="8" t="s">
        <v>1</v>
      </c>
      <c r="I157" s="7" t="s">
        <v>674</v>
      </c>
      <c r="K157" s="1"/>
      <c r="L157" s="1"/>
    </row>
    <row r="158" spans="1:12" customFormat="1" x14ac:dyDescent="0.2">
      <c r="A158" s="9" t="s">
        <v>1870</v>
      </c>
      <c r="B158" s="8" t="s">
        <v>673</v>
      </c>
      <c r="C158" s="8">
        <v>12901</v>
      </c>
      <c r="D158" s="69" t="s">
        <v>672</v>
      </c>
      <c r="E158" s="8">
        <v>316.99450000000002</v>
      </c>
      <c r="F158" s="8" t="s">
        <v>1</v>
      </c>
      <c r="G158" s="8" t="s">
        <v>1</v>
      </c>
      <c r="H158" s="8" t="s">
        <v>1</v>
      </c>
      <c r="I158" s="7" t="s">
        <v>566</v>
      </c>
      <c r="K158" s="1"/>
      <c r="L158" s="1"/>
    </row>
    <row r="159" spans="1:12" customFormat="1" x14ac:dyDescent="0.2">
      <c r="A159" s="9" t="s">
        <v>2212</v>
      </c>
      <c r="B159" s="8" t="s">
        <v>671</v>
      </c>
      <c r="C159" s="8">
        <v>13676</v>
      </c>
      <c r="D159" s="69" t="s">
        <v>670</v>
      </c>
      <c r="E159" s="8">
        <v>246.03020000000001</v>
      </c>
      <c r="F159" s="8" t="s">
        <v>1</v>
      </c>
      <c r="G159" s="8" t="s">
        <v>1</v>
      </c>
      <c r="H159" s="8" t="s">
        <v>1</v>
      </c>
      <c r="I159" s="7" t="s">
        <v>0</v>
      </c>
      <c r="K159" s="1"/>
      <c r="L159" s="1"/>
    </row>
    <row r="160" spans="1:12" customFormat="1" x14ac:dyDescent="0.2">
      <c r="A160" s="9" t="s">
        <v>2185</v>
      </c>
      <c r="B160" s="8" t="s">
        <v>669</v>
      </c>
      <c r="C160" s="8">
        <v>4004</v>
      </c>
      <c r="D160" s="69" t="s">
        <v>668</v>
      </c>
      <c r="E160" s="8">
        <v>330.03609999999998</v>
      </c>
      <c r="F160" s="8" t="s">
        <v>9</v>
      </c>
      <c r="G160" s="8" t="s">
        <v>1</v>
      </c>
      <c r="H160" s="8" t="s">
        <v>332</v>
      </c>
      <c r="I160" s="7" t="s">
        <v>6</v>
      </c>
      <c r="K160" s="1"/>
      <c r="L160" s="1"/>
    </row>
    <row r="161" spans="1:12" customFormat="1" x14ac:dyDescent="0.2">
      <c r="A161" s="9" t="s">
        <v>1856</v>
      </c>
      <c r="B161" s="8" t="s">
        <v>667</v>
      </c>
      <c r="C161" s="8">
        <v>3017</v>
      </c>
      <c r="D161" s="69" t="s">
        <v>666</v>
      </c>
      <c r="E161" s="8">
        <v>304.101</v>
      </c>
      <c r="F161" s="8" t="s">
        <v>9</v>
      </c>
      <c r="G161" s="8" t="s">
        <v>1</v>
      </c>
      <c r="H161" s="8" t="s">
        <v>332</v>
      </c>
      <c r="I161" s="7" t="s">
        <v>661</v>
      </c>
      <c r="K161" s="1"/>
      <c r="L161" s="1"/>
    </row>
    <row r="162" spans="1:12" customFormat="1" x14ac:dyDescent="0.2">
      <c r="A162" s="9" t="s">
        <v>3336</v>
      </c>
      <c r="B162" s="8" t="s">
        <v>665</v>
      </c>
      <c r="C162" s="8">
        <v>991</v>
      </c>
      <c r="D162" s="69" t="s">
        <v>664</v>
      </c>
      <c r="E162" s="8">
        <v>291.03300000000002</v>
      </c>
      <c r="F162" s="8" t="s">
        <v>9</v>
      </c>
      <c r="G162" s="8" t="s">
        <v>1</v>
      </c>
      <c r="H162" s="8" t="s">
        <v>69</v>
      </c>
      <c r="I162" s="7" t="s">
        <v>661</v>
      </c>
      <c r="K162" s="1"/>
      <c r="L162" s="1"/>
    </row>
    <row r="163" spans="1:12" customFormat="1" x14ac:dyDescent="0.2">
      <c r="A163" s="9" t="s">
        <v>2214</v>
      </c>
      <c r="B163" s="8" t="s">
        <v>663</v>
      </c>
      <c r="C163" s="8">
        <v>4130</v>
      </c>
      <c r="D163" s="69" t="s">
        <v>662</v>
      </c>
      <c r="E163" s="8">
        <v>263.00170000000003</v>
      </c>
      <c r="F163" s="8" t="s">
        <v>9</v>
      </c>
      <c r="G163" s="8" t="s">
        <v>1</v>
      </c>
      <c r="H163" s="8">
        <v>3</v>
      </c>
      <c r="I163" s="7" t="s">
        <v>661</v>
      </c>
      <c r="K163" s="1"/>
      <c r="L163" s="1"/>
    </row>
    <row r="164" spans="1:12" customFormat="1" x14ac:dyDescent="0.2">
      <c r="A164" s="17" t="s">
        <v>660</v>
      </c>
      <c r="B164" s="8"/>
      <c r="C164" s="8" t="s">
        <v>17</v>
      </c>
      <c r="D164" s="69"/>
      <c r="E164" s="8"/>
      <c r="F164" s="8" t="s">
        <v>17</v>
      </c>
      <c r="G164" s="8" t="s">
        <v>17</v>
      </c>
      <c r="H164" s="8"/>
      <c r="I164" s="7" t="s">
        <v>141</v>
      </c>
      <c r="K164" s="1"/>
      <c r="L164" s="1"/>
    </row>
    <row r="165" spans="1:12" customFormat="1" x14ac:dyDescent="0.2">
      <c r="A165" s="9" t="s">
        <v>2390</v>
      </c>
      <c r="B165" s="8" t="s">
        <v>659</v>
      </c>
      <c r="C165" s="8">
        <v>654</v>
      </c>
      <c r="D165" s="69" t="s">
        <v>658</v>
      </c>
      <c r="E165" s="8">
        <v>154.0395</v>
      </c>
      <c r="F165" s="8" t="s">
        <v>1</v>
      </c>
      <c r="G165" s="8" t="s">
        <v>1</v>
      </c>
      <c r="H165" s="8" t="s">
        <v>1</v>
      </c>
      <c r="I165" s="7" t="s">
        <v>247</v>
      </c>
      <c r="K165" s="1"/>
      <c r="L165" s="1"/>
    </row>
    <row r="166" spans="1:12" customFormat="1" x14ac:dyDescent="0.2">
      <c r="A166" s="11" t="s">
        <v>657</v>
      </c>
      <c r="B166" s="8" t="s">
        <v>17</v>
      </c>
      <c r="C166" s="8" t="s">
        <v>17</v>
      </c>
      <c r="D166" s="69" t="s">
        <v>17</v>
      </c>
      <c r="E166" s="10" t="s">
        <v>17</v>
      </c>
      <c r="F166" s="8" t="s">
        <v>17</v>
      </c>
      <c r="G166" s="8" t="s">
        <v>17</v>
      </c>
      <c r="H166" s="8" t="s">
        <v>17</v>
      </c>
      <c r="I166" s="7" t="s">
        <v>17</v>
      </c>
      <c r="K166" s="1"/>
      <c r="L166" s="1"/>
    </row>
    <row r="167" spans="1:12" customFormat="1" x14ac:dyDescent="0.2">
      <c r="A167" s="9" t="s">
        <v>3080</v>
      </c>
      <c r="B167" s="8" t="s">
        <v>656</v>
      </c>
      <c r="C167" s="8">
        <v>6440557</v>
      </c>
      <c r="D167" s="69" t="s">
        <v>655</v>
      </c>
      <c r="E167" s="8">
        <v>449.10059999999999</v>
      </c>
      <c r="F167" s="8" t="s">
        <v>9</v>
      </c>
      <c r="G167" s="8" t="s">
        <v>9</v>
      </c>
      <c r="H167" s="8" t="s">
        <v>1</v>
      </c>
      <c r="I167" s="7" t="s">
        <v>6</v>
      </c>
      <c r="K167" s="1"/>
      <c r="L167" s="1"/>
    </row>
    <row r="168" spans="1:12" customFormat="1" x14ac:dyDescent="0.2">
      <c r="A168" s="9" t="s">
        <v>3329</v>
      </c>
      <c r="B168" s="8" t="s">
        <v>654</v>
      </c>
      <c r="C168" s="8">
        <v>2912</v>
      </c>
      <c r="D168" s="69" t="s">
        <v>653</v>
      </c>
      <c r="E168" s="8">
        <v>415.07420000000002</v>
      </c>
      <c r="F168" s="8" t="s">
        <v>9</v>
      </c>
      <c r="G168" s="8" t="s">
        <v>9</v>
      </c>
      <c r="H168" s="8" t="s">
        <v>1</v>
      </c>
      <c r="I168" s="7" t="s">
        <v>6</v>
      </c>
      <c r="K168" s="1"/>
      <c r="L168" s="1"/>
    </row>
    <row r="169" spans="1:12" customFormat="1" x14ac:dyDescent="0.2">
      <c r="A169" s="9" t="s">
        <v>3078</v>
      </c>
      <c r="B169" s="8" t="s">
        <v>652</v>
      </c>
      <c r="C169" s="8">
        <v>104926</v>
      </c>
      <c r="D169" s="69" t="s">
        <v>651</v>
      </c>
      <c r="E169" s="8">
        <v>433.06479999999999</v>
      </c>
      <c r="F169" s="8" t="s">
        <v>9</v>
      </c>
      <c r="G169" s="8" t="s">
        <v>9</v>
      </c>
      <c r="H169" s="8" t="s">
        <v>1</v>
      </c>
      <c r="I169" s="7" t="s">
        <v>6</v>
      </c>
      <c r="K169" s="1"/>
      <c r="L169" s="1"/>
    </row>
    <row r="170" spans="1:12" customFormat="1" x14ac:dyDescent="0.2">
      <c r="A170" s="9" t="s">
        <v>3311</v>
      </c>
      <c r="B170" s="8" t="s">
        <v>650</v>
      </c>
      <c r="C170" s="8">
        <v>4767</v>
      </c>
      <c r="D170" s="69" t="s">
        <v>649</v>
      </c>
      <c r="E170" s="8">
        <v>350.18819999999999</v>
      </c>
      <c r="F170" s="8" t="s">
        <v>9</v>
      </c>
      <c r="G170" s="8" t="s">
        <v>1</v>
      </c>
      <c r="H170" s="8" t="s">
        <v>1</v>
      </c>
      <c r="I170" s="7" t="s">
        <v>6</v>
      </c>
      <c r="K170" s="1"/>
      <c r="L170" s="1"/>
    </row>
    <row r="171" spans="1:12" customFormat="1" x14ac:dyDescent="0.2">
      <c r="A171" s="9" t="s">
        <v>3095</v>
      </c>
      <c r="B171" s="8" t="s">
        <v>648</v>
      </c>
      <c r="C171" s="8">
        <v>91768</v>
      </c>
      <c r="D171" s="69" t="s">
        <v>647</v>
      </c>
      <c r="E171" s="8">
        <v>502.12709999999998</v>
      </c>
      <c r="F171" s="8" t="s">
        <v>9</v>
      </c>
      <c r="G171" s="8" t="s">
        <v>1</v>
      </c>
      <c r="H171" s="8" t="s">
        <v>1</v>
      </c>
      <c r="I171" s="7" t="s">
        <v>0</v>
      </c>
      <c r="K171" s="1"/>
      <c r="L171" s="1"/>
    </row>
    <row r="172" spans="1:12" customFormat="1" x14ac:dyDescent="0.2">
      <c r="A172" s="9" t="s">
        <v>3107</v>
      </c>
      <c r="B172" s="8" t="s">
        <v>646</v>
      </c>
      <c r="C172" s="8">
        <v>83975</v>
      </c>
      <c r="D172" s="69" t="s">
        <v>645</v>
      </c>
      <c r="E172" s="8">
        <v>331.17840000000001</v>
      </c>
      <c r="F172" s="8" t="s">
        <v>9</v>
      </c>
      <c r="G172" s="8" t="s">
        <v>1</v>
      </c>
      <c r="H172" s="8" t="s">
        <v>1</v>
      </c>
      <c r="I172" s="7" t="s">
        <v>566</v>
      </c>
      <c r="K172" s="1"/>
      <c r="L172" s="1"/>
    </row>
    <row r="173" spans="1:12" customFormat="1" x14ac:dyDescent="0.2">
      <c r="A173" s="9" t="s">
        <v>2063</v>
      </c>
      <c r="B173" s="8" t="s">
        <v>644</v>
      </c>
      <c r="C173" s="8">
        <v>71245</v>
      </c>
      <c r="D173" s="69" t="s">
        <v>643</v>
      </c>
      <c r="E173" s="8">
        <v>376.20389999999998</v>
      </c>
      <c r="F173" s="8" t="s">
        <v>9</v>
      </c>
      <c r="G173" s="8" t="s">
        <v>1</v>
      </c>
      <c r="H173" s="8" t="s">
        <v>1</v>
      </c>
      <c r="I173" s="7" t="s">
        <v>0</v>
      </c>
      <c r="K173" s="1"/>
      <c r="L173" s="1"/>
    </row>
    <row r="174" spans="1:12" customFormat="1" x14ac:dyDescent="0.2">
      <c r="A174" s="9" t="s">
        <v>1279</v>
      </c>
      <c r="B174" s="8" t="s">
        <v>642</v>
      </c>
      <c r="C174" s="8">
        <v>6436606</v>
      </c>
      <c r="D174" s="69" t="s">
        <v>641</v>
      </c>
      <c r="E174" s="8">
        <v>541.13239999999996</v>
      </c>
      <c r="F174" s="8" t="s">
        <v>9</v>
      </c>
      <c r="G174" s="8" t="s">
        <v>1</v>
      </c>
      <c r="H174" s="8" t="s">
        <v>1</v>
      </c>
      <c r="I174" s="7" t="s">
        <v>6</v>
      </c>
      <c r="K174" s="1"/>
      <c r="L174" s="1"/>
    </row>
    <row r="175" spans="1:12" customFormat="1" x14ac:dyDescent="0.2">
      <c r="A175" s="9" t="s">
        <v>1284</v>
      </c>
      <c r="B175" s="8" t="s">
        <v>640</v>
      </c>
      <c r="C175" s="8">
        <v>6442842</v>
      </c>
      <c r="D175" s="69" t="s">
        <v>639</v>
      </c>
      <c r="E175" s="8">
        <v>422.12599999999998</v>
      </c>
      <c r="F175" s="8" t="s">
        <v>9</v>
      </c>
      <c r="G175" s="8" t="s">
        <v>1</v>
      </c>
      <c r="H175" s="8" t="s">
        <v>1</v>
      </c>
      <c r="I175" s="7" t="s">
        <v>0</v>
      </c>
      <c r="K175" s="1"/>
      <c r="L175" s="1"/>
    </row>
    <row r="176" spans="1:12" customFormat="1" x14ac:dyDescent="0.2">
      <c r="A176" s="9" t="s">
        <v>1326</v>
      </c>
      <c r="B176" s="8" t="s">
        <v>638</v>
      </c>
      <c r="C176" s="8">
        <v>11534837</v>
      </c>
      <c r="D176" s="69" t="s">
        <v>637</v>
      </c>
      <c r="E176" s="8">
        <v>418.05709999999999</v>
      </c>
      <c r="F176" s="8" t="s">
        <v>9</v>
      </c>
      <c r="G176" s="8" t="s">
        <v>1</v>
      </c>
      <c r="H176" s="8" t="s">
        <v>1</v>
      </c>
      <c r="I176" s="7" t="s">
        <v>0</v>
      </c>
      <c r="K176" s="1"/>
      <c r="L176" s="1"/>
    </row>
    <row r="177" spans="1:12" customFormat="1" x14ac:dyDescent="0.2">
      <c r="A177" s="9" t="s">
        <v>3218</v>
      </c>
      <c r="B177" s="8" t="s">
        <v>636</v>
      </c>
      <c r="C177" s="8">
        <v>180526</v>
      </c>
      <c r="D177" s="69" t="s">
        <v>632</v>
      </c>
      <c r="E177" s="8">
        <v>208.00579999999999</v>
      </c>
      <c r="F177" s="8" t="s">
        <v>1</v>
      </c>
      <c r="G177" s="8" t="s">
        <v>9</v>
      </c>
      <c r="H177" s="8" t="s">
        <v>1</v>
      </c>
      <c r="I177" s="7" t="s">
        <v>85</v>
      </c>
      <c r="K177" s="1"/>
      <c r="L177" s="1"/>
    </row>
    <row r="178" spans="1:12" customFormat="1" x14ac:dyDescent="0.2">
      <c r="A178" s="9" t="s">
        <v>3350</v>
      </c>
      <c r="B178" s="8" t="s">
        <v>635</v>
      </c>
      <c r="C178" s="8">
        <v>50980</v>
      </c>
      <c r="D178" s="69" t="s">
        <v>634</v>
      </c>
      <c r="E178" s="8">
        <v>451.15949999999998</v>
      </c>
      <c r="F178" s="8" t="s">
        <v>1</v>
      </c>
      <c r="G178" s="8" t="s">
        <v>9</v>
      </c>
      <c r="H178" s="8" t="s">
        <v>1</v>
      </c>
      <c r="I178" s="7" t="s">
        <v>6</v>
      </c>
      <c r="K178" s="1"/>
      <c r="L178" s="1"/>
    </row>
    <row r="179" spans="1:12" customFormat="1" x14ac:dyDescent="0.2">
      <c r="A179" s="9" t="s">
        <v>3217</v>
      </c>
      <c r="B179" s="8" t="s">
        <v>633</v>
      </c>
      <c r="C179" s="8">
        <v>41507</v>
      </c>
      <c r="D179" s="69" t="s">
        <v>632</v>
      </c>
      <c r="E179" s="8">
        <v>208.00579999999999</v>
      </c>
      <c r="F179" s="8" t="s">
        <v>1</v>
      </c>
      <c r="G179" s="8" t="s">
        <v>1</v>
      </c>
      <c r="H179" s="8" t="s">
        <v>1</v>
      </c>
      <c r="I179" s="7" t="s">
        <v>85</v>
      </c>
      <c r="K179" s="1"/>
      <c r="L179" s="1"/>
    </row>
    <row r="180" spans="1:12" customFormat="1" x14ac:dyDescent="0.2">
      <c r="A180" s="9" t="s">
        <v>3172</v>
      </c>
      <c r="B180" s="8" t="s">
        <v>631</v>
      </c>
      <c r="C180" s="8">
        <v>157032</v>
      </c>
      <c r="D180" s="69" t="s">
        <v>630</v>
      </c>
      <c r="E180" s="8">
        <v>232.05359999999999</v>
      </c>
      <c r="F180" s="8" t="s">
        <v>1</v>
      </c>
      <c r="G180" s="8" t="s">
        <v>1</v>
      </c>
      <c r="H180" s="8" t="s">
        <v>1</v>
      </c>
      <c r="I180" s="7" t="s">
        <v>0</v>
      </c>
      <c r="K180" s="1"/>
      <c r="L180" s="1"/>
    </row>
    <row r="181" spans="1:12" customFormat="1" x14ac:dyDescent="0.2">
      <c r="A181" s="9" t="s">
        <v>2009</v>
      </c>
      <c r="B181" s="8" t="s">
        <v>629</v>
      </c>
      <c r="C181" s="8">
        <v>47326</v>
      </c>
      <c r="D181" s="69" t="s">
        <v>628</v>
      </c>
      <c r="E181" s="8">
        <v>349.1678</v>
      </c>
      <c r="F181" s="8" t="s">
        <v>1</v>
      </c>
      <c r="G181" s="8" t="s">
        <v>1</v>
      </c>
      <c r="H181" s="8" t="s">
        <v>1</v>
      </c>
      <c r="I181" s="7" t="s">
        <v>0</v>
      </c>
      <c r="K181" s="1"/>
      <c r="L181" s="1"/>
    </row>
    <row r="182" spans="1:12" customFormat="1" x14ac:dyDescent="0.2">
      <c r="A182" s="9" t="s">
        <v>3109</v>
      </c>
      <c r="B182" s="8" t="s">
        <v>627</v>
      </c>
      <c r="C182" s="8">
        <v>656612</v>
      </c>
      <c r="D182" s="69" t="s">
        <v>626</v>
      </c>
      <c r="E182" s="8">
        <v>370.01499999999999</v>
      </c>
      <c r="F182" s="8" t="s">
        <v>1</v>
      </c>
      <c r="G182" s="8" t="s">
        <v>1</v>
      </c>
      <c r="H182" s="8" t="s">
        <v>1</v>
      </c>
      <c r="I182" s="7" t="s">
        <v>0</v>
      </c>
      <c r="K182" s="1"/>
      <c r="L182" s="1"/>
    </row>
    <row r="183" spans="1:12" customFormat="1" x14ac:dyDescent="0.2">
      <c r="A183" s="9" t="s">
        <v>3076</v>
      </c>
      <c r="B183" s="8" t="s">
        <v>625</v>
      </c>
      <c r="C183" s="8">
        <v>11442</v>
      </c>
      <c r="D183" s="69" t="s">
        <v>624</v>
      </c>
      <c r="E183" s="8">
        <v>302.18819999999999</v>
      </c>
      <c r="F183" s="8" t="s">
        <v>1</v>
      </c>
      <c r="G183" s="8" t="s">
        <v>1</v>
      </c>
      <c r="H183" s="8" t="s">
        <v>1</v>
      </c>
      <c r="I183" s="7" t="s">
        <v>6</v>
      </c>
      <c r="K183" s="1"/>
      <c r="L183" s="1"/>
    </row>
    <row r="184" spans="1:12" customFormat="1" x14ac:dyDescent="0.2">
      <c r="A184" s="9" t="s">
        <v>3328</v>
      </c>
      <c r="B184" s="8" t="s">
        <v>623</v>
      </c>
      <c r="C184" s="8">
        <v>3347</v>
      </c>
      <c r="D184" s="69" t="s">
        <v>622</v>
      </c>
      <c r="E184" s="8">
        <v>419.12880000000001</v>
      </c>
      <c r="F184" s="8" t="s">
        <v>9</v>
      </c>
      <c r="G184" s="8" t="s">
        <v>9</v>
      </c>
      <c r="H184" s="8">
        <v>3</v>
      </c>
      <c r="I184" s="7" t="s">
        <v>6</v>
      </c>
      <c r="K184" s="1"/>
      <c r="L184" s="1"/>
    </row>
    <row r="185" spans="1:12" customFormat="1" x14ac:dyDescent="0.2">
      <c r="A185" s="9" t="s">
        <v>3330</v>
      </c>
      <c r="B185" s="8" t="s">
        <v>621</v>
      </c>
      <c r="C185" s="8">
        <v>40585</v>
      </c>
      <c r="D185" s="69" t="s">
        <v>620</v>
      </c>
      <c r="E185" s="8">
        <v>502.97309999999999</v>
      </c>
      <c r="F185" s="8" t="s">
        <v>9</v>
      </c>
      <c r="G185" s="8" t="s">
        <v>1</v>
      </c>
      <c r="H185" s="8">
        <v>3</v>
      </c>
      <c r="I185" s="7" t="s">
        <v>6</v>
      </c>
      <c r="K185" s="1"/>
      <c r="L185" s="1"/>
    </row>
    <row r="186" spans="1:12" customFormat="1" x14ac:dyDescent="0.2">
      <c r="A186" s="9" t="s">
        <v>3098</v>
      </c>
      <c r="B186" s="8" t="s">
        <v>619</v>
      </c>
      <c r="C186" s="8">
        <v>40463</v>
      </c>
      <c r="D186" s="69" t="s">
        <v>617</v>
      </c>
      <c r="E186" s="8">
        <v>390.07889999999998</v>
      </c>
      <c r="F186" s="8" t="s">
        <v>9</v>
      </c>
      <c r="G186" s="8" t="s">
        <v>1</v>
      </c>
      <c r="H186" s="8">
        <v>3</v>
      </c>
      <c r="I186" s="7" t="s">
        <v>6</v>
      </c>
      <c r="K186" s="1"/>
      <c r="L186" s="1"/>
    </row>
    <row r="187" spans="1:12" customFormat="1" x14ac:dyDescent="0.2">
      <c r="A187" s="9" t="s">
        <v>3160</v>
      </c>
      <c r="B187" s="8" t="s">
        <v>618</v>
      </c>
      <c r="C187" s="8">
        <v>43859</v>
      </c>
      <c r="D187" s="69" t="s">
        <v>617</v>
      </c>
      <c r="E187" s="8">
        <v>390.07889999999998</v>
      </c>
      <c r="F187" s="8" t="s">
        <v>1</v>
      </c>
      <c r="G187" s="8" t="s">
        <v>1</v>
      </c>
      <c r="H187" s="8">
        <v>3</v>
      </c>
      <c r="I187" s="7" t="s">
        <v>6</v>
      </c>
      <c r="K187" s="1"/>
      <c r="L187" s="1"/>
    </row>
    <row r="188" spans="1:12" customFormat="1" x14ac:dyDescent="0.2">
      <c r="A188" s="11" t="s">
        <v>616</v>
      </c>
      <c r="B188" s="8" t="s">
        <v>17</v>
      </c>
      <c r="C188" s="8" t="s">
        <v>17</v>
      </c>
      <c r="D188" s="69" t="s">
        <v>17</v>
      </c>
      <c r="E188" s="8" t="s">
        <v>17</v>
      </c>
      <c r="F188" s="8" t="s">
        <v>17</v>
      </c>
      <c r="G188" s="8" t="s">
        <v>17</v>
      </c>
      <c r="H188" s="8" t="s">
        <v>17</v>
      </c>
      <c r="I188" s="7" t="s">
        <v>17</v>
      </c>
      <c r="K188" s="1"/>
      <c r="L188" s="1"/>
    </row>
    <row r="189" spans="1:12" customFormat="1" x14ac:dyDescent="0.2">
      <c r="A189" s="9" t="s">
        <v>3319</v>
      </c>
      <c r="B189" s="8" t="s">
        <v>615</v>
      </c>
      <c r="C189" s="8">
        <v>19539</v>
      </c>
      <c r="D189" s="69" t="s">
        <v>614</v>
      </c>
      <c r="E189" s="8">
        <v>214.06299999999999</v>
      </c>
      <c r="F189" s="8" t="s">
        <v>1</v>
      </c>
      <c r="G189" s="8" t="s">
        <v>1</v>
      </c>
      <c r="H189" s="8" t="s">
        <v>1</v>
      </c>
      <c r="I189" s="7" t="s">
        <v>0</v>
      </c>
      <c r="K189" s="1"/>
      <c r="L189" s="1"/>
    </row>
    <row r="190" spans="1:12" customFormat="1" x14ac:dyDescent="0.2">
      <c r="A190" s="11" t="s">
        <v>613</v>
      </c>
      <c r="B190" s="8" t="s">
        <v>17</v>
      </c>
      <c r="C190" s="8" t="s">
        <v>17</v>
      </c>
      <c r="D190" s="69" t="s">
        <v>17</v>
      </c>
      <c r="E190" s="10" t="s">
        <v>17</v>
      </c>
      <c r="F190" s="8" t="s">
        <v>17</v>
      </c>
      <c r="G190" s="8" t="s">
        <v>17</v>
      </c>
      <c r="H190" s="8" t="s">
        <v>17</v>
      </c>
      <c r="I190" s="7" t="s">
        <v>17</v>
      </c>
      <c r="K190" s="1"/>
      <c r="L190" s="1"/>
    </row>
    <row r="191" spans="1:12" customFormat="1" x14ac:dyDescent="0.2">
      <c r="A191" s="9" t="s">
        <v>2059</v>
      </c>
      <c r="B191" s="8" t="s">
        <v>612</v>
      </c>
      <c r="C191" s="8">
        <v>91778</v>
      </c>
      <c r="D191" s="69" t="s">
        <v>611</v>
      </c>
      <c r="E191" s="8">
        <v>405.96949999999998</v>
      </c>
      <c r="F191" s="8" t="s">
        <v>1</v>
      </c>
      <c r="G191" s="8" t="s">
        <v>1</v>
      </c>
      <c r="H191" s="8" t="s">
        <v>1</v>
      </c>
      <c r="I191" s="7" t="s">
        <v>610</v>
      </c>
      <c r="K191" s="1"/>
      <c r="L191" s="1"/>
    </row>
    <row r="192" spans="1:12" customFormat="1" x14ac:dyDescent="0.2">
      <c r="A192" s="11" t="s">
        <v>609</v>
      </c>
      <c r="B192" s="8" t="s">
        <v>17</v>
      </c>
      <c r="C192" s="8" t="s">
        <v>17</v>
      </c>
      <c r="D192" s="69" t="s">
        <v>17</v>
      </c>
      <c r="E192" s="10" t="s">
        <v>17</v>
      </c>
      <c r="F192" s="8" t="s">
        <v>17</v>
      </c>
      <c r="G192" s="8" t="s">
        <v>17</v>
      </c>
      <c r="H192" s="8" t="s">
        <v>17</v>
      </c>
      <c r="I192" s="7" t="s">
        <v>17</v>
      </c>
      <c r="K192" s="1"/>
      <c r="L192" s="1"/>
    </row>
    <row r="193" spans="1:12" customFormat="1" x14ac:dyDescent="0.2">
      <c r="A193" s="9" t="s">
        <v>2088</v>
      </c>
      <c r="B193" s="8" t="s">
        <v>608</v>
      </c>
      <c r="C193" s="8">
        <v>8227</v>
      </c>
      <c r="D193" s="69" t="s">
        <v>607</v>
      </c>
      <c r="E193" s="8">
        <v>275.18849999999998</v>
      </c>
      <c r="F193" s="8" t="s">
        <v>1</v>
      </c>
      <c r="G193" s="8" t="s">
        <v>1</v>
      </c>
      <c r="H193" s="8" t="s">
        <v>1</v>
      </c>
      <c r="I193" s="7" t="s">
        <v>566</v>
      </c>
      <c r="K193" s="1"/>
      <c r="L193" s="1"/>
    </row>
    <row r="194" spans="1:12" customFormat="1" x14ac:dyDescent="0.2">
      <c r="A194" s="9" t="s">
        <v>3277</v>
      </c>
      <c r="B194" s="8" t="s">
        <v>606</v>
      </c>
      <c r="C194" s="8">
        <v>5794</v>
      </c>
      <c r="D194" s="69" t="s">
        <v>605</v>
      </c>
      <c r="E194" s="8">
        <v>338.20929999999998</v>
      </c>
      <c r="F194" s="8" t="s">
        <v>1</v>
      </c>
      <c r="G194" s="8" t="s">
        <v>1</v>
      </c>
      <c r="H194" s="8">
        <v>3</v>
      </c>
      <c r="I194" s="7" t="s">
        <v>63</v>
      </c>
      <c r="K194" s="1"/>
      <c r="L194" s="1"/>
    </row>
    <row r="195" spans="1:12" customFormat="1" x14ac:dyDescent="0.2">
      <c r="A195" s="12" t="s">
        <v>604</v>
      </c>
      <c r="B195" s="8" t="s">
        <v>17</v>
      </c>
      <c r="C195" s="8" t="s">
        <v>17</v>
      </c>
      <c r="D195" s="69" t="s">
        <v>17</v>
      </c>
      <c r="E195" s="10" t="s">
        <v>17</v>
      </c>
      <c r="F195" s="8" t="s">
        <v>17</v>
      </c>
      <c r="G195" s="8" t="s">
        <v>17</v>
      </c>
      <c r="H195" s="8" t="s">
        <v>17</v>
      </c>
      <c r="I195" s="7" t="s">
        <v>17</v>
      </c>
      <c r="K195" s="1"/>
      <c r="L195" s="1"/>
    </row>
    <row r="196" spans="1:12" customFormat="1" x14ac:dyDescent="0.2">
      <c r="A196" s="9" t="s">
        <v>2093</v>
      </c>
      <c r="B196" s="8" t="s">
        <v>603</v>
      </c>
      <c r="C196" s="8">
        <v>158076</v>
      </c>
      <c r="D196" s="69" t="s">
        <v>602</v>
      </c>
      <c r="E196" s="8">
        <v>293.12950000000001</v>
      </c>
      <c r="F196" s="8" t="s">
        <v>9</v>
      </c>
      <c r="G196" s="8" t="s">
        <v>1</v>
      </c>
      <c r="H196" s="8" t="s">
        <v>1</v>
      </c>
      <c r="I196" s="7" t="s">
        <v>0</v>
      </c>
      <c r="K196" s="1"/>
      <c r="L196" s="1"/>
    </row>
    <row r="197" spans="1:12" customFormat="1" x14ac:dyDescent="0.2">
      <c r="A197" s="9" t="s">
        <v>3313</v>
      </c>
      <c r="B197" s="8" t="s">
        <v>601</v>
      </c>
      <c r="C197" s="8">
        <v>15709948</v>
      </c>
      <c r="D197" s="69" t="s">
        <v>600</v>
      </c>
      <c r="E197" s="8">
        <v>433.67899999999997</v>
      </c>
      <c r="F197" s="8" t="s">
        <v>1</v>
      </c>
      <c r="G197" s="8" t="s">
        <v>9</v>
      </c>
      <c r="H197" s="8" t="s">
        <v>1</v>
      </c>
      <c r="I197" s="7" t="s">
        <v>0</v>
      </c>
      <c r="K197" s="1"/>
      <c r="L197" s="1"/>
    </row>
    <row r="198" spans="1:12" customFormat="1" x14ac:dyDescent="0.2">
      <c r="A198" s="9" t="s">
        <v>2131</v>
      </c>
      <c r="B198" s="8" t="s">
        <v>599</v>
      </c>
      <c r="C198" s="8">
        <v>2728</v>
      </c>
      <c r="D198" s="69" t="s">
        <v>598</v>
      </c>
      <c r="E198" s="8">
        <v>213.0556</v>
      </c>
      <c r="F198" s="8" t="s">
        <v>9</v>
      </c>
      <c r="G198" s="8" t="s">
        <v>1</v>
      </c>
      <c r="H198" s="8">
        <v>3</v>
      </c>
      <c r="I198" s="7" t="s">
        <v>0</v>
      </c>
      <c r="K198" s="1"/>
      <c r="L198" s="1"/>
    </row>
    <row r="199" spans="1:12" customFormat="1" ht="24" x14ac:dyDescent="0.2">
      <c r="A199" s="14" t="s">
        <v>597</v>
      </c>
      <c r="B199" s="10" t="s">
        <v>17</v>
      </c>
      <c r="C199" s="8" t="s">
        <v>17</v>
      </c>
      <c r="D199" s="69" t="s">
        <v>17</v>
      </c>
      <c r="E199" s="10" t="s">
        <v>17</v>
      </c>
      <c r="F199" s="8" t="s">
        <v>17</v>
      </c>
      <c r="G199" s="8" t="s">
        <v>17</v>
      </c>
      <c r="H199" s="10" t="s">
        <v>17</v>
      </c>
      <c r="I199" s="7" t="s">
        <v>17</v>
      </c>
      <c r="K199" s="1"/>
      <c r="L199" s="1"/>
    </row>
    <row r="200" spans="1:12" customFormat="1" x14ac:dyDescent="0.2">
      <c r="A200" s="12" t="s">
        <v>596</v>
      </c>
      <c r="B200" s="8" t="s">
        <v>17</v>
      </c>
      <c r="C200" s="8" t="s">
        <v>17</v>
      </c>
      <c r="D200" s="69" t="s">
        <v>17</v>
      </c>
      <c r="E200" s="10" t="s">
        <v>17</v>
      </c>
      <c r="F200" s="8" t="s">
        <v>17</v>
      </c>
      <c r="G200" s="8" t="s">
        <v>17</v>
      </c>
      <c r="H200" s="8" t="s">
        <v>17</v>
      </c>
      <c r="I200" s="7" t="s">
        <v>17</v>
      </c>
      <c r="K200" s="1"/>
      <c r="L200" s="1"/>
    </row>
    <row r="201" spans="1:12" customFormat="1" x14ac:dyDescent="0.2">
      <c r="A201" s="9" t="s">
        <v>3338</v>
      </c>
      <c r="B201" s="8" t="s">
        <v>595</v>
      </c>
      <c r="C201" s="8">
        <v>5955</v>
      </c>
      <c r="D201" s="69" t="s">
        <v>594</v>
      </c>
      <c r="E201" s="8">
        <v>190.0378</v>
      </c>
      <c r="F201" s="8" t="s">
        <v>1</v>
      </c>
      <c r="G201" s="8" t="s">
        <v>9</v>
      </c>
      <c r="H201" s="8" t="s">
        <v>1</v>
      </c>
      <c r="I201" s="7" t="s">
        <v>593</v>
      </c>
      <c r="K201" s="1"/>
      <c r="L201" s="1"/>
    </row>
    <row r="202" spans="1:12" customFormat="1" x14ac:dyDescent="0.2">
      <c r="A202" s="9" t="s">
        <v>3331</v>
      </c>
      <c r="B202" s="8" t="s">
        <v>592</v>
      </c>
      <c r="C202" s="8">
        <v>5897</v>
      </c>
      <c r="D202" s="69" t="s">
        <v>591</v>
      </c>
      <c r="E202" s="8">
        <v>223.09970000000001</v>
      </c>
      <c r="F202" s="8" t="s">
        <v>1</v>
      </c>
      <c r="G202" s="8" t="s">
        <v>1</v>
      </c>
      <c r="H202" s="8" t="s">
        <v>1</v>
      </c>
      <c r="I202" s="7" t="s">
        <v>590</v>
      </c>
      <c r="K202" s="1"/>
      <c r="L202" s="1"/>
    </row>
    <row r="203" spans="1:12" customFormat="1" x14ac:dyDescent="0.2">
      <c r="A203" s="9" t="s">
        <v>3348</v>
      </c>
      <c r="B203" s="8" t="s">
        <v>589</v>
      </c>
      <c r="C203" s="8">
        <v>4156</v>
      </c>
      <c r="D203" s="69" t="s">
        <v>588</v>
      </c>
      <c r="E203" s="8">
        <v>110.00369999999999</v>
      </c>
      <c r="F203" s="8" t="s">
        <v>1</v>
      </c>
      <c r="G203" s="8" t="s">
        <v>9</v>
      </c>
      <c r="H203" s="8" t="s">
        <v>332</v>
      </c>
      <c r="I203" s="7" t="s">
        <v>587</v>
      </c>
      <c r="K203" s="1"/>
      <c r="L203" s="1"/>
    </row>
    <row r="204" spans="1:12" customFormat="1" x14ac:dyDescent="0.2">
      <c r="A204" s="9" t="s">
        <v>3366</v>
      </c>
      <c r="B204" s="8" t="s">
        <v>586</v>
      </c>
      <c r="C204" s="8">
        <v>13542</v>
      </c>
      <c r="D204" s="69" t="s">
        <v>585</v>
      </c>
      <c r="E204" s="8">
        <v>158.14189999999999</v>
      </c>
      <c r="F204" s="8" t="s">
        <v>1</v>
      </c>
      <c r="G204" s="8" t="s">
        <v>1</v>
      </c>
      <c r="H204" s="8" t="s">
        <v>69</v>
      </c>
      <c r="I204" s="7" t="s">
        <v>579</v>
      </c>
      <c r="K204" s="1"/>
      <c r="L204" s="1"/>
    </row>
    <row r="205" spans="1:12" customFormat="1" x14ac:dyDescent="0.2">
      <c r="A205" s="9" t="s">
        <v>3367</v>
      </c>
      <c r="B205" s="8" t="s">
        <v>584</v>
      </c>
      <c r="C205" s="8">
        <v>13591</v>
      </c>
      <c r="D205" s="69" t="s">
        <v>583</v>
      </c>
      <c r="E205" s="8">
        <v>100.0637</v>
      </c>
      <c r="F205" s="8" t="s">
        <v>1</v>
      </c>
      <c r="G205" s="8" t="s">
        <v>1</v>
      </c>
      <c r="H205" s="8" t="s">
        <v>69</v>
      </c>
      <c r="I205" s="7" t="s">
        <v>582</v>
      </c>
      <c r="K205" s="1"/>
      <c r="L205" s="1"/>
    </row>
    <row r="206" spans="1:12" customFormat="1" x14ac:dyDescent="0.2">
      <c r="A206" s="9" t="s">
        <v>3251</v>
      </c>
      <c r="B206" s="8" t="s">
        <v>581</v>
      </c>
      <c r="C206" s="8">
        <v>25418</v>
      </c>
      <c r="D206" s="69" t="s">
        <v>580</v>
      </c>
      <c r="E206" s="8">
        <v>88.063699999999997</v>
      </c>
      <c r="F206" s="8" t="s">
        <v>1</v>
      </c>
      <c r="G206" s="8" t="s">
        <v>1</v>
      </c>
      <c r="H206" s="8" t="s">
        <v>69</v>
      </c>
      <c r="I206" s="7" t="s">
        <v>579</v>
      </c>
      <c r="K206" s="1"/>
      <c r="L206" s="1"/>
    </row>
    <row r="207" spans="1:12" customFormat="1" x14ac:dyDescent="0.2">
      <c r="A207" s="12" t="s">
        <v>578</v>
      </c>
      <c r="B207" s="8" t="s">
        <v>17</v>
      </c>
      <c r="C207" s="8" t="s">
        <v>17</v>
      </c>
      <c r="D207" s="69" t="s">
        <v>17</v>
      </c>
      <c r="E207" s="10" t="s">
        <v>17</v>
      </c>
      <c r="F207" s="8" t="s">
        <v>17</v>
      </c>
      <c r="G207" s="8" t="s">
        <v>17</v>
      </c>
      <c r="H207" s="8" t="s">
        <v>17</v>
      </c>
      <c r="I207" s="7" t="s">
        <v>17</v>
      </c>
      <c r="K207" s="1"/>
      <c r="L207" s="1"/>
    </row>
    <row r="208" spans="1:12" customFormat="1" x14ac:dyDescent="0.2">
      <c r="A208" s="9" t="s">
        <v>957</v>
      </c>
      <c r="B208" s="8" t="s">
        <v>577</v>
      </c>
      <c r="C208" s="8">
        <v>7543</v>
      </c>
      <c r="D208" s="69" t="s">
        <v>576</v>
      </c>
      <c r="E208" s="8">
        <v>266.03775000000002</v>
      </c>
      <c r="F208" s="8" t="s">
        <v>1</v>
      </c>
      <c r="G208" s="8" t="s">
        <v>1</v>
      </c>
      <c r="H208" s="8">
        <v>1</v>
      </c>
      <c r="I208" s="7" t="s">
        <v>0</v>
      </c>
      <c r="K208" s="1"/>
      <c r="L208" s="1"/>
    </row>
    <row r="209" spans="1:12" customFormat="1" x14ac:dyDescent="0.2">
      <c r="A209" s="9" t="s">
        <v>3156</v>
      </c>
      <c r="B209" s="8" t="s">
        <v>575</v>
      </c>
      <c r="C209" s="8">
        <v>980</v>
      </c>
      <c r="D209" s="69" t="s">
        <v>515</v>
      </c>
      <c r="E209" s="8">
        <v>139.02690000000001</v>
      </c>
      <c r="F209" s="8" t="s">
        <v>9</v>
      </c>
      <c r="G209" s="8" t="s">
        <v>1</v>
      </c>
      <c r="H209" s="8" t="s">
        <v>1</v>
      </c>
      <c r="I209" s="7" t="s">
        <v>14</v>
      </c>
      <c r="K209" s="1"/>
      <c r="L209" s="1"/>
    </row>
    <row r="210" spans="1:12" customFormat="1" x14ac:dyDescent="0.2">
      <c r="A210" s="9" t="s">
        <v>3144</v>
      </c>
      <c r="B210" s="8" t="s">
        <v>574</v>
      </c>
      <c r="C210" s="8">
        <v>2879</v>
      </c>
      <c r="D210" s="69" t="s">
        <v>527</v>
      </c>
      <c r="E210" s="8">
        <v>108.0575</v>
      </c>
      <c r="F210" s="8" t="s">
        <v>9</v>
      </c>
      <c r="G210" s="8" t="s">
        <v>1</v>
      </c>
      <c r="H210" s="8" t="s">
        <v>1</v>
      </c>
      <c r="I210" s="7" t="s">
        <v>14</v>
      </c>
      <c r="K210" s="1"/>
      <c r="L210" s="1"/>
    </row>
    <row r="211" spans="1:12" customFormat="1" x14ac:dyDescent="0.2">
      <c r="A211" s="9" t="s">
        <v>3259</v>
      </c>
      <c r="B211" s="8" t="s">
        <v>573</v>
      </c>
      <c r="C211" s="8">
        <v>1483</v>
      </c>
      <c r="D211" s="69" t="s">
        <v>572</v>
      </c>
      <c r="E211" s="8">
        <v>327.77300000000002</v>
      </c>
      <c r="F211" s="8" t="s">
        <v>9</v>
      </c>
      <c r="G211" s="8" t="s">
        <v>1</v>
      </c>
      <c r="H211" s="8" t="s">
        <v>1</v>
      </c>
      <c r="I211" s="7" t="s">
        <v>14</v>
      </c>
      <c r="K211" s="1"/>
      <c r="L211" s="1"/>
    </row>
    <row r="212" spans="1:12" customFormat="1" x14ac:dyDescent="0.2">
      <c r="A212" s="9" t="s">
        <v>1056</v>
      </c>
      <c r="B212" s="8" t="s">
        <v>571</v>
      </c>
      <c r="C212" s="8">
        <v>13700</v>
      </c>
      <c r="D212" s="69" t="s">
        <v>154</v>
      </c>
      <c r="E212" s="8">
        <v>206.1671</v>
      </c>
      <c r="F212" s="8" t="s">
        <v>9</v>
      </c>
      <c r="G212" s="8" t="s">
        <v>1</v>
      </c>
      <c r="H212" s="8" t="s">
        <v>1</v>
      </c>
      <c r="I212" s="7" t="s">
        <v>14</v>
      </c>
      <c r="K212" s="1"/>
      <c r="L212" s="1"/>
    </row>
    <row r="213" spans="1:12" customFormat="1" x14ac:dyDescent="0.2">
      <c r="A213" s="9" t="s">
        <v>1004</v>
      </c>
      <c r="B213" s="8" t="s">
        <v>570</v>
      </c>
      <c r="C213" s="8">
        <v>96106</v>
      </c>
      <c r="D213" s="69" t="s">
        <v>557</v>
      </c>
      <c r="E213" s="8">
        <v>282.9803</v>
      </c>
      <c r="F213" s="8" t="s">
        <v>1</v>
      </c>
      <c r="G213" s="8" t="s">
        <v>9</v>
      </c>
      <c r="H213" s="8" t="s">
        <v>1</v>
      </c>
      <c r="I213" s="7" t="s">
        <v>0</v>
      </c>
      <c r="K213" s="1"/>
      <c r="L213" s="1"/>
    </row>
    <row r="214" spans="1:12" customFormat="1" x14ac:dyDescent="0.2">
      <c r="A214" s="9" t="s">
        <v>3143</v>
      </c>
      <c r="B214" s="8" t="s">
        <v>569</v>
      </c>
      <c r="C214" s="8">
        <v>335</v>
      </c>
      <c r="D214" s="69" t="s">
        <v>527</v>
      </c>
      <c r="E214" s="8">
        <v>108.0575</v>
      </c>
      <c r="F214" s="8" t="s">
        <v>1</v>
      </c>
      <c r="G214" s="8" t="s">
        <v>9</v>
      </c>
      <c r="H214" s="8" t="s">
        <v>1</v>
      </c>
      <c r="I214" s="7" t="s">
        <v>14</v>
      </c>
      <c r="K214" s="1"/>
      <c r="L214" s="1"/>
    </row>
    <row r="215" spans="1:12" customFormat="1" x14ac:dyDescent="0.2">
      <c r="A215" s="9" t="s">
        <v>3285</v>
      </c>
      <c r="B215" s="8" t="s">
        <v>568</v>
      </c>
      <c r="C215" s="8">
        <v>6808</v>
      </c>
      <c r="D215" s="69" t="s">
        <v>567</v>
      </c>
      <c r="E215" s="8">
        <v>151.0633</v>
      </c>
      <c r="F215" s="8" t="s">
        <v>1</v>
      </c>
      <c r="G215" s="8" t="s">
        <v>9</v>
      </c>
      <c r="H215" s="8" t="s">
        <v>1</v>
      </c>
      <c r="I215" s="7" t="s">
        <v>566</v>
      </c>
      <c r="K215" s="1"/>
      <c r="L215" s="1"/>
    </row>
    <row r="216" spans="1:12" customFormat="1" x14ac:dyDescent="0.2">
      <c r="A216" s="9" t="s">
        <v>1032</v>
      </c>
      <c r="B216" s="8" t="s">
        <v>565</v>
      </c>
      <c r="C216" s="8">
        <v>7771</v>
      </c>
      <c r="D216" s="69" t="s">
        <v>564</v>
      </c>
      <c r="E216" s="8">
        <v>122.0731</v>
      </c>
      <c r="F216" s="8" t="s">
        <v>1</v>
      </c>
      <c r="G216" s="8" t="s">
        <v>9</v>
      </c>
      <c r="H216" s="8" t="s">
        <v>1</v>
      </c>
      <c r="I216" s="7" t="s">
        <v>0</v>
      </c>
      <c r="K216" s="1"/>
      <c r="L216" s="1"/>
    </row>
    <row r="217" spans="1:12" customFormat="1" x14ac:dyDescent="0.2">
      <c r="A217" s="9" t="s">
        <v>986</v>
      </c>
      <c r="B217" s="8" t="s">
        <v>563</v>
      </c>
      <c r="C217" s="8">
        <v>18134</v>
      </c>
      <c r="D217" s="69" t="s">
        <v>562</v>
      </c>
      <c r="E217" s="8">
        <v>584.99030000000005</v>
      </c>
      <c r="F217" s="8" t="s">
        <v>1</v>
      </c>
      <c r="G217" s="8" t="s">
        <v>1</v>
      </c>
      <c r="H217" s="8" t="s">
        <v>1</v>
      </c>
      <c r="I217" s="7" t="s">
        <v>265</v>
      </c>
      <c r="K217" s="1"/>
      <c r="L217" s="1"/>
    </row>
    <row r="218" spans="1:12" customFormat="1" x14ac:dyDescent="0.2">
      <c r="A218" s="9" t="s">
        <v>3250</v>
      </c>
      <c r="B218" s="8" t="s">
        <v>561</v>
      </c>
      <c r="C218" s="8">
        <v>534778</v>
      </c>
      <c r="D218" s="69" t="s">
        <v>560</v>
      </c>
      <c r="E218" s="8">
        <v>284.07799999999997</v>
      </c>
      <c r="F218" s="8" t="s">
        <v>1</v>
      </c>
      <c r="G218" s="8" t="s">
        <v>1</v>
      </c>
      <c r="H218" s="8" t="s">
        <v>1</v>
      </c>
      <c r="I218" s="7" t="s">
        <v>0</v>
      </c>
      <c r="K218" s="1"/>
      <c r="L218" s="1"/>
    </row>
    <row r="219" spans="1:12" customFormat="1" x14ac:dyDescent="0.2">
      <c r="A219" s="9" t="s">
        <v>2720</v>
      </c>
      <c r="B219" s="8" t="s">
        <v>559</v>
      </c>
      <c r="C219" s="8">
        <v>134036</v>
      </c>
      <c r="D219" s="69" t="s">
        <v>557</v>
      </c>
      <c r="E219" s="8">
        <v>282.9803</v>
      </c>
      <c r="F219" s="8" t="s">
        <v>1</v>
      </c>
      <c r="G219" s="8" t="s">
        <v>1</v>
      </c>
      <c r="H219" s="8" t="s">
        <v>1</v>
      </c>
      <c r="I219" s="7" t="s">
        <v>0</v>
      </c>
      <c r="K219" s="1"/>
      <c r="L219" s="1"/>
    </row>
    <row r="220" spans="1:12" customFormat="1" x14ac:dyDescent="0.2">
      <c r="A220" s="9" t="s">
        <v>2715</v>
      </c>
      <c r="B220" s="8" t="s">
        <v>558</v>
      </c>
      <c r="C220" s="8">
        <v>134796</v>
      </c>
      <c r="D220" s="69" t="s">
        <v>557</v>
      </c>
      <c r="E220" s="8">
        <v>282.9803</v>
      </c>
      <c r="F220" s="8" t="s">
        <v>1</v>
      </c>
      <c r="G220" s="8" t="s">
        <v>1</v>
      </c>
      <c r="H220" s="8" t="s">
        <v>1</v>
      </c>
      <c r="I220" s="7" t="s">
        <v>0</v>
      </c>
      <c r="K220" s="1"/>
      <c r="L220" s="1"/>
    </row>
    <row r="221" spans="1:12" customFormat="1" x14ac:dyDescent="0.2">
      <c r="A221" s="9" t="s">
        <v>3212</v>
      </c>
      <c r="B221" s="8" t="s">
        <v>556</v>
      </c>
      <c r="C221" s="8">
        <v>92363</v>
      </c>
      <c r="D221" s="69" t="s">
        <v>555</v>
      </c>
      <c r="E221" s="8">
        <v>149.08410000000001</v>
      </c>
      <c r="F221" s="8" t="s">
        <v>1</v>
      </c>
      <c r="G221" s="8" t="s">
        <v>1</v>
      </c>
      <c r="H221" s="8" t="s">
        <v>1</v>
      </c>
      <c r="I221" s="7" t="s">
        <v>0</v>
      </c>
      <c r="K221" s="1"/>
      <c r="L221" s="1"/>
    </row>
    <row r="222" spans="1:12" customFormat="1" x14ac:dyDescent="0.2">
      <c r="A222" s="9" t="s">
        <v>3306</v>
      </c>
      <c r="B222" s="8" t="s">
        <v>554</v>
      </c>
      <c r="C222" s="8">
        <v>28697</v>
      </c>
      <c r="D222" s="69" t="s">
        <v>553</v>
      </c>
      <c r="E222" s="8">
        <v>224.9151</v>
      </c>
      <c r="F222" s="8" t="s">
        <v>1</v>
      </c>
      <c r="G222" s="8" t="s">
        <v>1</v>
      </c>
      <c r="H222" s="8" t="s">
        <v>1</v>
      </c>
      <c r="I222" s="7" t="s">
        <v>0</v>
      </c>
      <c r="K222" s="1"/>
      <c r="L222" s="1"/>
    </row>
    <row r="223" spans="1:12" customFormat="1" x14ac:dyDescent="0.2">
      <c r="A223" s="9" t="s">
        <v>3208</v>
      </c>
      <c r="B223" s="8" t="s">
        <v>552</v>
      </c>
      <c r="C223" s="8">
        <v>23436</v>
      </c>
      <c r="D223" s="69" t="s">
        <v>551</v>
      </c>
      <c r="E223" s="8">
        <v>204.0342</v>
      </c>
      <c r="F223" s="8" t="s">
        <v>1</v>
      </c>
      <c r="G223" s="8" t="s">
        <v>1</v>
      </c>
      <c r="H223" s="8" t="s">
        <v>1</v>
      </c>
      <c r="I223" s="7" t="s">
        <v>0</v>
      </c>
      <c r="K223" s="1"/>
      <c r="L223" s="1"/>
    </row>
    <row r="224" spans="1:12" customFormat="1" x14ac:dyDescent="0.2">
      <c r="A224" s="9" t="s">
        <v>3207</v>
      </c>
      <c r="B224" s="8" t="s">
        <v>550</v>
      </c>
      <c r="C224" s="8">
        <v>12110</v>
      </c>
      <c r="D224" s="69" t="s">
        <v>549</v>
      </c>
      <c r="E224" s="8">
        <v>215.0582</v>
      </c>
      <c r="F224" s="8" t="s">
        <v>1</v>
      </c>
      <c r="G224" s="8" t="s">
        <v>1</v>
      </c>
      <c r="H224" s="8" t="s">
        <v>1</v>
      </c>
      <c r="I224" s="7" t="s">
        <v>0</v>
      </c>
      <c r="K224" s="1"/>
      <c r="L224" s="1"/>
    </row>
    <row r="225" spans="1:12" customFormat="1" x14ac:dyDescent="0.2">
      <c r="A225" s="9" t="s">
        <v>3345</v>
      </c>
      <c r="B225" s="8" t="s">
        <v>548</v>
      </c>
      <c r="C225" s="8">
        <v>12064</v>
      </c>
      <c r="D225" s="69" t="s">
        <v>546</v>
      </c>
      <c r="E225" s="8">
        <v>190.95410000000001</v>
      </c>
      <c r="F225" s="8" t="s">
        <v>1</v>
      </c>
      <c r="G225" s="8" t="s">
        <v>1</v>
      </c>
      <c r="H225" s="8" t="s">
        <v>1</v>
      </c>
      <c r="I225" s="7" t="s">
        <v>0</v>
      </c>
      <c r="K225" s="1"/>
      <c r="L225" s="1"/>
    </row>
    <row r="226" spans="1:12" customFormat="1" x14ac:dyDescent="0.2">
      <c r="A226" s="9" t="s">
        <v>3316</v>
      </c>
      <c r="B226" s="8" t="s">
        <v>547</v>
      </c>
      <c r="C226" s="8">
        <v>18555</v>
      </c>
      <c r="D226" s="69" t="s">
        <v>546</v>
      </c>
      <c r="E226" s="8">
        <v>190.95410000000001</v>
      </c>
      <c r="F226" s="8" t="s">
        <v>1</v>
      </c>
      <c r="G226" s="8" t="s">
        <v>1</v>
      </c>
      <c r="H226" s="8" t="s">
        <v>1</v>
      </c>
      <c r="I226" s="7" t="s">
        <v>0</v>
      </c>
      <c r="K226" s="1"/>
      <c r="L226" s="1"/>
    </row>
    <row r="227" spans="1:12" customFormat="1" x14ac:dyDescent="0.2">
      <c r="A227" s="9" t="s">
        <v>3326</v>
      </c>
      <c r="B227" s="8" t="s">
        <v>545</v>
      </c>
      <c r="C227" s="8">
        <v>68188</v>
      </c>
      <c r="D227" s="69" t="s">
        <v>316</v>
      </c>
      <c r="E227" s="8">
        <v>224.11799999999999</v>
      </c>
      <c r="F227" s="8" t="s">
        <v>1</v>
      </c>
      <c r="G227" s="8" t="s">
        <v>1</v>
      </c>
      <c r="H227" s="8" t="s">
        <v>1</v>
      </c>
      <c r="I227" s="7" t="s">
        <v>247</v>
      </c>
      <c r="K227" s="1"/>
      <c r="L227" s="1"/>
    </row>
    <row r="228" spans="1:12" customFormat="1" x14ac:dyDescent="0.2">
      <c r="A228" s="9" t="s">
        <v>3361</v>
      </c>
      <c r="B228" s="8" t="s">
        <v>544</v>
      </c>
      <c r="C228" s="8">
        <v>13134</v>
      </c>
      <c r="D228" s="69" t="s">
        <v>543</v>
      </c>
      <c r="E228" s="8">
        <v>126.0082</v>
      </c>
      <c r="F228" s="8" t="s">
        <v>1</v>
      </c>
      <c r="G228" s="8" t="s">
        <v>1</v>
      </c>
      <c r="H228" s="8" t="s">
        <v>1</v>
      </c>
      <c r="I228" s="7" t="s">
        <v>247</v>
      </c>
      <c r="K228" s="1"/>
      <c r="L228" s="1"/>
    </row>
    <row r="229" spans="1:12" customFormat="1" x14ac:dyDescent="0.2">
      <c r="A229" s="9" t="s">
        <v>3325</v>
      </c>
      <c r="B229" s="8" t="s">
        <v>542</v>
      </c>
      <c r="C229" s="8">
        <v>10541</v>
      </c>
      <c r="D229" s="69" t="s">
        <v>541</v>
      </c>
      <c r="E229" s="8">
        <v>140.024</v>
      </c>
      <c r="F229" s="8" t="s">
        <v>1</v>
      </c>
      <c r="G229" s="8" t="s">
        <v>1</v>
      </c>
      <c r="H229" s="8" t="s">
        <v>1</v>
      </c>
      <c r="I229" s="7" t="s">
        <v>247</v>
      </c>
      <c r="K229" s="1"/>
      <c r="L229" s="1"/>
    </row>
    <row r="230" spans="1:12" customFormat="1" x14ac:dyDescent="0.2">
      <c r="A230" s="9" t="s">
        <v>3341</v>
      </c>
      <c r="B230" s="8" t="s">
        <v>540</v>
      </c>
      <c r="C230" s="8">
        <v>11660</v>
      </c>
      <c r="D230" s="69" t="s">
        <v>175</v>
      </c>
      <c r="E230" s="8">
        <v>111.9847</v>
      </c>
      <c r="F230" s="8" t="s">
        <v>1</v>
      </c>
      <c r="G230" s="8" t="s">
        <v>1</v>
      </c>
      <c r="H230" s="8" t="s">
        <v>1</v>
      </c>
      <c r="I230" s="7" t="s">
        <v>174</v>
      </c>
      <c r="K230" s="1"/>
      <c r="L230" s="1"/>
    </row>
    <row r="231" spans="1:12" customFormat="1" x14ac:dyDescent="0.2">
      <c r="A231" s="9" t="s">
        <v>2246</v>
      </c>
      <c r="B231" s="8" t="s">
        <v>539</v>
      </c>
      <c r="C231" s="8">
        <v>7056</v>
      </c>
      <c r="D231" s="69" t="s">
        <v>538</v>
      </c>
      <c r="E231" s="8">
        <v>162.024</v>
      </c>
      <c r="F231" s="8" t="s">
        <v>1</v>
      </c>
      <c r="G231" s="8" t="s">
        <v>1</v>
      </c>
      <c r="H231" s="8" t="s">
        <v>1</v>
      </c>
      <c r="I231" s="7" t="s">
        <v>361</v>
      </c>
      <c r="K231" s="1"/>
      <c r="L231" s="1"/>
    </row>
    <row r="232" spans="1:12" customFormat="1" x14ac:dyDescent="0.2">
      <c r="A232" s="9" t="s">
        <v>2811</v>
      </c>
      <c r="B232" s="8" t="s">
        <v>537</v>
      </c>
      <c r="C232" s="8">
        <v>8530</v>
      </c>
      <c r="D232" s="69" t="s">
        <v>536</v>
      </c>
      <c r="E232" s="8">
        <v>158.0368</v>
      </c>
      <c r="F232" s="8" t="s">
        <v>1</v>
      </c>
      <c r="G232" s="8" t="s">
        <v>1</v>
      </c>
      <c r="H232" s="8" t="s">
        <v>1</v>
      </c>
      <c r="I232" s="7" t="s">
        <v>361</v>
      </c>
      <c r="K232" s="1"/>
      <c r="L232" s="1"/>
    </row>
    <row r="233" spans="1:12" customFormat="1" x14ac:dyDescent="0.2">
      <c r="A233" s="9" t="s">
        <v>2831</v>
      </c>
      <c r="B233" s="8" t="s">
        <v>535</v>
      </c>
      <c r="C233" s="8">
        <v>7343</v>
      </c>
      <c r="D233" s="69" t="s">
        <v>534</v>
      </c>
      <c r="E233" s="8">
        <v>114.0681</v>
      </c>
      <c r="F233" s="8" t="s">
        <v>1</v>
      </c>
      <c r="G233" s="8" t="s">
        <v>1</v>
      </c>
      <c r="H233" s="8" t="s">
        <v>1</v>
      </c>
      <c r="I233" s="7" t="s">
        <v>85</v>
      </c>
      <c r="K233" s="1"/>
      <c r="L233" s="1"/>
    </row>
    <row r="234" spans="1:12" customFormat="1" x14ac:dyDescent="0.2">
      <c r="A234" s="9" t="s">
        <v>2841</v>
      </c>
      <c r="B234" s="8" t="s">
        <v>533</v>
      </c>
      <c r="C234" s="8">
        <v>15902</v>
      </c>
      <c r="D234" s="69" t="s">
        <v>532</v>
      </c>
      <c r="E234" s="8">
        <v>245.81309999999999</v>
      </c>
      <c r="F234" s="8" t="s">
        <v>1</v>
      </c>
      <c r="G234" s="8" t="s">
        <v>1</v>
      </c>
      <c r="H234" s="8" t="s">
        <v>1</v>
      </c>
      <c r="I234" s="7" t="s">
        <v>531</v>
      </c>
      <c r="K234" s="1"/>
      <c r="L234" s="1"/>
    </row>
    <row r="235" spans="1:12" customFormat="1" x14ac:dyDescent="0.2">
      <c r="A235" s="9" t="s">
        <v>3324</v>
      </c>
      <c r="B235" s="8" t="s">
        <v>530</v>
      </c>
      <c r="C235" s="8">
        <v>1493</v>
      </c>
      <c r="D235" s="69" t="s">
        <v>529</v>
      </c>
      <c r="E235" s="8">
        <v>184.012</v>
      </c>
      <c r="F235" s="8" t="s">
        <v>1</v>
      </c>
      <c r="G235" s="8" t="s">
        <v>1</v>
      </c>
      <c r="H235" s="8" t="s">
        <v>1</v>
      </c>
      <c r="I235" s="7" t="s">
        <v>14</v>
      </c>
      <c r="K235" s="1"/>
      <c r="L235" s="1"/>
    </row>
    <row r="236" spans="1:12" customFormat="1" x14ac:dyDescent="0.2">
      <c r="A236" s="9" t="s">
        <v>2820</v>
      </c>
      <c r="B236" s="8" t="s">
        <v>528</v>
      </c>
      <c r="C236" s="8">
        <v>342</v>
      </c>
      <c r="D236" s="69" t="s">
        <v>527</v>
      </c>
      <c r="E236" s="8">
        <v>108.0575</v>
      </c>
      <c r="F236" s="8" t="s">
        <v>1</v>
      </c>
      <c r="G236" s="8" t="s">
        <v>1</v>
      </c>
      <c r="H236" s="8" t="s">
        <v>1</v>
      </c>
      <c r="I236" s="7" t="s">
        <v>14</v>
      </c>
      <c r="K236" s="1"/>
      <c r="L236" s="1"/>
    </row>
    <row r="237" spans="1:12" customFormat="1" x14ac:dyDescent="0.2">
      <c r="A237" s="9" t="s">
        <v>979</v>
      </c>
      <c r="B237" s="8" t="s">
        <v>526</v>
      </c>
      <c r="C237" s="8">
        <v>135444498</v>
      </c>
      <c r="D237" s="69" t="s">
        <v>525</v>
      </c>
      <c r="E237" s="8">
        <v>152.095</v>
      </c>
      <c r="F237" s="8" t="s">
        <v>1</v>
      </c>
      <c r="G237" s="8" t="s">
        <v>1</v>
      </c>
      <c r="H237" s="8" t="s">
        <v>1</v>
      </c>
      <c r="I237" s="7" t="s">
        <v>524</v>
      </c>
      <c r="K237" s="1"/>
      <c r="L237" s="1"/>
    </row>
    <row r="238" spans="1:12" customFormat="1" x14ac:dyDescent="0.2">
      <c r="A238" s="9" t="s">
        <v>1051</v>
      </c>
      <c r="B238" s="8" t="s">
        <v>523</v>
      </c>
      <c r="C238" s="8">
        <v>6327654</v>
      </c>
      <c r="D238" s="69" t="s">
        <v>522</v>
      </c>
      <c r="E238" s="8">
        <v>137.0368</v>
      </c>
      <c r="F238" s="8" t="s">
        <v>1</v>
      </c>
      <c r="G238" s="8" t="s">
        <v>1</v>
      </c>
      <c r="H238" s="8" t="s">
        <v>1</v>
      </c>
      <c r="I238" s="7" t="s">
        <v>59</v>
      </c>
      <c r="K238" s="1"/>
      <c r="L238" s="1"/>
    </row>
    <row r="239" spans="1:12" customFormat="1" x14ac:dyDescent="0.2">
      <c r="A239" s="9" t="s">
        <v>3267</v>
      </c>
      <c r="B239" s="8" t="s">
        <v>521</v>
      </c>
      <c r="C239" s="8">
        <v>2777312</v>
      </c>
      <c r="D239" s="69" t="s">
        <v>520</v>
      </c>
      <c r="E239" s="8">
        <v>116.041</v>
      </c>
      <c r="F239" s="8" t="s">
        <v>1</v>
      </c>
      <c r="G239" s="8" t="s">
        <v>1</v>
      </c>
      <c r="H239" s="8" t="s">
        <v>1</v>
      </c>
      <c r="I239" s="7" t="s">
        <v>488</v>
      </c>
      <c r="K239" s="1"/>
      <c r="L239" s="1"/>
    </row>
    <row r="240" spans="1:12" customFormat="1" x14ac:dyDescent="0.2">
      <c r="A240" s="9" t="s">
        <v>2481</v>
      </c>
      <c r="B240" s="8" t="s">
        <v>519</v>
      </c>
      <c r="C240" s="8">
        <v>15278</v>
      </c>
      <c r="D240" s="69" t="s">
        <v>518</v>
      </c>
      <c r="E240" s="8">
        <v>164.08369999999999</v>
      </c>
      <c r="F240" s="8" t="s">
        <v>1</v>
      </c>
      <c r="G240" s="8" t="s">
        <v>1</v>
      </c>
      <c r="H240" s="8" t="s">
        <v>1</v>
      </c>
      <c r="I240" s="7" t="s">
        <v>517</v>
      </c>
      <c r="K240" s="1"/>
      <c r="L240" s="1"/>
    </row>
    <row r="241" spans="1:12" customFormat="1" x14ac:dyDescent="0.2">
      <c r="A241" s="9" t="s">
        <v>1028</v>
      </c>
      <c r="B241" s="8" t="s">
        <v>516</v>
      </c>
      <c r="C241" s="8">
        <v>6947</v>
      </c>
      <c r="D241" s="69" t="s">
        <v>515</v>
      </c>
      <c r="E241" s="8">
        <v>139.02690000000001</v>
      </c>
      <c r="F241" s="8" t="s">
        <v>1</v>
      </c>
      <c r="G241" s="8" t="s">
        <v>1</v>
      </c>
      <c r="H241" s="8" t="s">
        <v>1</v>
      </c>
      <c r="I241" s="7" t="s">
        <v>14</v>
      </c>
      <c r="K241" s="1"/>
      <c r="L241" s="1"/>
    </row>
    <row r="242" spans="1:12" customFormat="1" x14ac:dyDescent="0.2">
      <c r="A242" s="9" t="s">
        <v>1037</v>
      </c>
      <c r="B242" s="8" t="s">
        <v>514</v>
      </c>
      <c r="C242" s="8">
        <v>568</v>
      </c>
      <c r="D242" s="69" t="s">
        <v>513</v>
      </c>
      <c r="E242" s="8">
        <v>168.0575</v>
      </c>
      <c r="F242" s="8" t="s">
        <v>1</v>
      </c>
      <c r="G242" s="8" t="s">
        <v>1</v>
      </c>
      <c r="H242" s="8" t="s">
        <v>1</v>
      </c>
      <c r="I242" s="7" t="s">
        <v>475</v>
      </c>
      <c r="K242" s="1"/>
      <c r="L242" s="1"/>
    </row>
    <row r="243" spans="1:12" customFormat="1" x14ac:dyDescent="0.2">
      <c r="A243" s="9" t="s">
        <v>2619</v>
      </c>
      <c r="B243" s="8" t="s">
        <v>512</v>
      </c>
      <c r="C243" s="8">
        <v>7501</v>
      </c>
      <c r="D243" s="69" t="s">
        <v>511</v>
      </c>
      <c r="E243" s="8">
        <v>104.0626</v>
      </c>
      <c r="F243" s="8" t="s">
        <v>9</v>
      </c>
      <c r="G243" s="8" t="s">
        <v>1</v>
      </c>
      <c r="H243" s="8" t="s">
        <v>332</v>
      </c>
      <c r="I243" s="7" t="s">
        <v>0</v>
      </c>
      <c r="K243" s="1"/>
      <c r="L243" s="1"/>
    </row>
    <row r="244" spans="1:12" customFormat="1" x14ac:dyDescent="0.2">
      <c r="A244" s="9" t="s">
        <v>3335</v>
      </c>
      <c r="B244" s="8" t="s">
        <v>510</v>
      </c>
      <c r="C244" s="8">
        <v>5921</v>
      </c>
      <c r="D244" s="69" t="s">
        <v>509</v>
      </c>
      <c r="E244" s="8">
        <v>102.0793</v>
      </c>
      <c r="F244" s="8" t="s">
        <v>1</v>
      </c>
      <c r="G244" s="8" t="s">
        <v>1</v>
      </c>
      <c r="H244" s="8" t="s">
        <v>332</v>
      </c>
      <c r="I244" s="7" t="s">
        <v>41</v>
      </c>
      <c r="K244" s="1"/>
      <c r="L244" s="1"/>
    </row>
    <row r="245" spans="1:12" customFormat="1" x14ac:dyDescent="0.2">
      <c r="A245" s="9" t="s">
        <v>3369</v>
      </c>
      <c r="B245" s="8" t="s">
        <v>508</v>
      </c>
      <c r="C245" s="8">
        <v>7251</v>
      </c>
      <c r="D245" s="69" t="s">
        <v>507</v>
      </c>
      <c r="E245" s="8">
        <v>141.03450000000001</v>
      </c>
      <c r="F245" s="8" t="s">
        <v>1</v>
      </c>
      <c r="G245" s="8" t="s">
        <v>1</v>
      </c>
      <c r="H245" s="8" t="s">
        <v>332</v>
      </c>
      <c r="I245" s="7" t="s">
        <v>0</v>
      </c>
      <c r="K245" s="1"/>
      <c r="L245" s="1"/>
    </row>
    <row r="246" spans="1:12" customFormat="1" x14ac:dyDescent="0.2">
      <c r="A246" s="9" t="s">
        <v>3292</v>
      </c>
      <c r="B246" s="8" t="s">
        <v>506</v>
      </c>
      <c r="C246" s="8">
        <v>7577</v>
      </c>
      <c r="D246" s="69" t="s">
        <v>505</v>
      </c>
      <c r="E246" s="8">
        <v>198.1157</v>
      </c>
      <c r="F246" s="8" t="s">
        <v>9</v>
      </c>
      <c r="G246" s="8" t="s">
        <v>9</v>
      </c>
      <c r="H246" s="8" t="s">
        <v>69</v>
      </c>
      <c r="I246" s="7" t="s">
        <v>0</v>
      </c>
      <c r="K246" s="1"/>
      <c r="L246" s="1"/>
    </row>
    <row r="247" spans="1:12" customFormat="1" x14ac:dyDescent="0.2">
      <c r="A247" s="9" t="s">
        <v>3298</v>
      </c>
      <c r="B247" s="8" t="s">
        <v>504</v>
      </c>
      <c r="C247" s="8">
        <v>8449</v>
      </c>
      <c r="D247" s="69" t="s">
        <v>503</v>
      </c>
      <c r="E247" s="8">
        <v>161.9639</v>
      </c>
      <c r="F247" s="8" t="s">
        <v>9</v>
      </c>
      <c r="G247" s="8" t="s">
        <v>1</v>
      </c>
      <c r="H247" s="8" t="s">
        <v>69</v>
      </c>
      <c r="I247" s="7" t="s">
        <v>0</v>
      </c>
      <c r="K247" s="1"/>
      <c r="L247" s="1"/>
    </row>
    <row r="248" spans="1:12" customFormat="1" x14ac:dyDescent="0.2">
      <c r="A248" s="9" t="s">
        <v>1047</v>
      </c>
      <c r="B248" s="8" t="s">
        <v>502</v>
      </c>
      <c r="C248" s="8">
        <v>7416</v>
      </c>
      <c r="D248" s="69" t="s">
        <v>501</v>
      </c>
      <c r="E248" s="8">
        <v>123.032</v>
      </c>
      <c r="F248" s="8" t="s">
        <v>9</v>
      </c>
      <c r="G248" s="8" t="s">
        <v>1</v>
      </c>
      <c r="H248" s="8" t="s">
        <v>69</v>
      </c>
      <c r="I248" s="7" t="s">
        <v>0</v>
      </c>
      <c r="K248" s="1"/>
      <c r="L248" s="1"/>
    </row>
    <row r="249" spans="1:12" customFormat="1" x14ac:dyDescent="0.2">
      <c r="A249" s="9" t="s">
        <v>2892</v>
      </c>
      <c r="B249" s="8" t="s">
        <v>500</v>
      </c>
      <c r="C249" s="8">
        <v>7579</v>
      </c>
      <c r="D249" s="69" t="s">
        <v>499</v>
      </c>
      <c r="E249" s="8">
        <v>200.09495999999999</v>
      </c>
      <c r="F249" s="8" t="s">
        <v>1</v>
      </c>
      <c r="G249" s="8" t="s">
        <v>9</v>
      </c>
      <c r="H249" s="8" t="s">
        <v>69</v>
      </c>
      <c r="I249" s="7" t="s">
        <v>0</v>
      </c>
      <c r="K249" s="1"/>
      <c r="L249" s="1"/>
    </row>
    <row r="250" spans="1:12" customFormat="1" x14ac:dyDescent="0.2">
      <c r="A250" s="9" t="s">
        <v>2610</v>
      </c>
      <c r="B250" s="8" t="s">
        <v>498</v>
      </c>
      <c r="C250" s="8">
        <v>7406</v>
      </c>
      <c r="D250" s="69" t="s">
        <v>497</v>
      </c>
      <c r="E250" s="8">
        <v>120.0939</v>
      </c>
      <c r="F250" s="8" t="s">
        <v>1</v>
      </c>
      <c r="G250" s="8" t="s">
        <v>1</v>
      </c>
      <c r="H250" s="8" t="s">
        <v>69</v>
      </c>
      <c r="I250" s="7" t="s">
        <v>0</v>
      </c>
      <c r="K250" s="1"/>
      <c r="L250" s="1"/>
    </row>
    <row r="251" spans="1:12" customFormat="1" x14ac:dyDescent="0.2">
      <c r="A251" s="9" t="s">
        <v>3260</v>
      </c>
      <c r="B251" s="8" t="s">
        <v>496</v>
      </c>
      <c r="C251" s="8">
        <v>11487</v>
      </c>
      <c r="D251" s="69" t="s">
        <v>495</v>
      </c>
      <c r="E251" s="8">
        <v>169.0891</v>
      </c>
      <c r="F251" s="8" t="s">
        <v>1</v>
      </c>
      <c r="G251" s="8" t="s">
        <v>1</v>
      </c>
      <c r="H251" s="8" t="s">
        <v>69</v>
      </c>
      <c r="I251" s="7" t="s">
        <v>0</v>
      </c>
      <c r="K251" s="1"/>
      <c r="L251" s="1"/>
    </row>
    <row r="252" spans="1:12" customFormat="1" x14ac:dyDescent="0.2">
      <c r="A252" s="9" t="s">
        <v>3360</v>
      </c>
      <c r="B252" s="8" t="s">
        <v>494</v>
      </c>
      <c r="C252" s="8">
        <v>6658</v>
      </c>
      <c r="D252" s="69" t="s">
        <v>493</v>
      </c>
      <c r="E252" s="8">
        <v>100.05240000000001</v>
      </c>
      <c r="F252" s="8" t="s">
        <v>9</v>
      </c>
      <c r="G252" s="8" t="s">
        <v>1</v>
      </c>
      <c r="H252" s="8">
        <v>3</v>
      </c>
      <c r="I252" s="7" t="s">
        <v>85</v>
      </c>
      <c r="K252" s="1"/>
      <c r="L252" s="1"/>
    </row>
    <row r="253" spans="1:12" customFormat="1" x14ac:dyDescent="0.2">
      <c r="A253" s="9" t="s">
        <v>3334</v>
      </c>
      <c r="B253" s="8" t="s">
        <v>492</v>
      </c>
      <c r="C253" s="8">
        <v>10943</v>
      </c>
      <c r="D253" s="69" t="s">
        <v>491</v>
      </c>
      <c r="E253" s="8">
        <v>145.96899999999999</v>
      </c>
      <c r="F253" s="8" t="s">
        <v>9</v>
      </c>
      <c r="G253" s="8" t="s">
        <v>1</v>
      </c>
      <c r="H253" s="8">
        <v>3</v>
      </c>
      <c r="I253" s="7" t="s">
        <v>0</v>
      </c>
      <c r="K253" s="1"/>
      <c r="L253" s="1"/>
    </row>
    <row r="254" spans="1:12" customFormat="1" x14ac:dyDescent="0.2">
      <c r="A254" s="9" t="s">
        <v>3372</v>
      </c>
      <c r="B254" s="8" t="s">
        <v>490</v>
      </c>
      <c r="C254" s="8">
        <v>2723650</v>
      </c>
      <c r="D254" s="69" t="s">
        <v>489</v>
      </c>
      <c r="E254" s="8">
        <v>102.0252</v>
      </c>
      <c r="F254" s="8" t="s">
        <v>9</v>
      </c>
      <c r="G254" s="8" t="s">
        <v>1</v>
      </c>
      <c r="H254" s="8">
        <v>3</v>
      </c>
      <c r="I254" s="7" t="s">
        <v>488</v>
      </c>
      <c r="K254" s="1"/>
      <c r="L254" s="1"/>
    </row>
    <row r="255" spans="1:12" customFormat="1" x14ac:dyDescent="0.2">
      <c r="A255" s="9" t="s">
        <v>2332</v>
      </c>
      <c r="B255" s="8" t="s">
        <v>487</v>
      </c>
      <c r="C255" s="8">
        <v>996</v>
      </c>
      <c r="D255" s="69" t="s">
        <v>486</v>
      </c>
      <c r="E255" s="8">
        <v>94.041899999999998</v>
      </c>
      <c r="F255" s="8" t="s">
        <v>1</v>
      </c>
      <c r="G255" s="8" t="s">
        <v>1</v>
      </c>
      <c r="H255" s="8">
        <v>3</v>
      </c>
      <c r="I255" s="7" t="s">
        <v>14</v>
      </c>
      <c r="K255" s="1"/>
      <c r="L255" s="1"/>
    </row>
    <row r="256" spans="1:12" customFormat="1" x14ac:dyDescent="0.2">
      <c r="A256" s="9" t="s">
        <v>3254</v>
      </c>
      <c r="B256" s="8" t="s">
        <v>485</v>
      </c>
      <c r="C256" s="8">
        <v>8115</v>
      </c>
      <c r="D256" s="69" t="s">
        <v>484</v>
      </c>
      <c r="E256" s="8">
        <v>141.99520000000001</v>
      </c>
      <c r="F256" s="8" t="s">
        <v>1</v>
      </c>
      <c r="G256" s="8" t="s">
        <v>1</v>
      </c>
      <c r="H256" s="8">
        <v>3</v>
      </c>
      <c r="I256" s="7" t="s">
        <v>59</v>
      </c>
      <c r="K256" s="1"/>
      <c r="L256" s="1"/>
    </row>
    <row r="257" spans="1:12" customFormat="1" x14ac:dyDescent="0.2">
      <c r="A257" s="12" t="s">
        <v>483</v>
      </c>
      <c r="B257" s="8" t="s">
        <v>17</v>
      </c>
      <c r="C257" s="8" t="s">
        <v>17</v>
      </c>
      <c r="D257" s="69" t="s">
        <v>17</v>
      </c>
      <c r="E257" s="10" t="s">
        <v>17</v>
      </c>
      <c r="F257" s="8" t="s">
        <v>17</v>
      </c>
      <c r="G257" s="8" t="s">
        <v>17</v>
      </c>
      <c r="H257" s="8" t="s">
        <v>17</v>
      </c>
      <c r="I257" s="7" t="s">
        <v>17</v>
      </c>
      <c r="K257" s="1"/>
      <c r="L257" s="1"/>
    </row>
    <row r="258" spans="1:12" customFormat="1" x14ac:dyDescent="0.2">
      <c r="A258" s="11" t="s">
        <v>331</v>
      </c>
      <c r="B258" s="8" t="s">
        <v>17</v>
      </c>
      <c r="C258" s="8" t="s">
        <v>17</v>
      </c>
      <c r="D258" s="69" t="s">
        <v>17</v>
      </c>
      <c r="E258" s="10" t="s">
        <v>17</v>
      </c>
      <c r="F258" s="8" t="s">
        <v>17</v>
      </c>
      <c r="G258" s="8" t="s">
        <v>17</v>
      </c>
      <c r="H258" s="8" t="s">
        <v>17</v>
      </c>
      <c r="I258" s="7" t="s">
        <v>17</v>
      </c>
      <c r="K258" s="1"/>
      <c r="L258" s="1"/>
    </row>
    <row r="259" spans="1:12" customFormat="1" x14ac:dyDescent="0.2">
      <c r="A259" s="9" t="s">
        <v>3317</v>
      </c>
      <c r="B259" s="8" t="s">
        <v>482</v>
      </c>
      <c r="C259" s="8">
        <v>18636</v>
      </c>
      <c r="D259" s="69" t="s">
        <v>481</v>
      </c>
      <c r="E259" s="8">
        <v>455.7407</v>
      </c>
      <c r="F259" s="8" t="s">
        <v>9</v>
      </c>
      <c r="G259" s="8" t="s">
        <v>1</v>
      </c>
      <c r="H259" s="8" t="s">
        <v>1</v>
      </c>
      <c r="I259" s="7" t="s">
        <v>480</v>
      </c>
      <c r="K259" s="1"/>
      <c r="L259" s="1"/>
    </row>
    <row r="260" spans="1:12" customFormat="1" x14ac:dyDescent="0.2">
      <c r="A260" s="9" t="s">
        <v>3214</v>
      </c>
      <c r="B260" s="8" t="s">
        <v>479</v>
      </c>
      <c r="C260" s="8">
        <v>42138</v>
      </c>
      <c r="D260" s="69" t="s">
        <v>478</v>
      </c>
      <c r="E260" s="8">
        <v>337.86270000000002</v>
      </c>
      <c r="F260" s="8" t="s">
        <v>9</v>
      </c>
      <c r="G260" s="8" t="s">
        <v>1</v>
      </c>
      <c r="H260" s="8">
        <v>3</v>
      </c>
      <c r="I260" s="7" t="s">
        <v>475</v>
      </c>
      <c r="K260" s="1"/>
      <c r="L260" s="1"/>
    </row>
    <row r="261" spans="1:12" customFormat="1" x14ac:dyDescent="0.2">
      <c r="A261" s="9" t="s">
        <v>3321</v>
      </c>
      <c r="B261" s="8" t="s">
        <v>477</v>
      </c>
      <c r="C261" s="8">
        <v>38200</v>
      </c>
      <c r="D261" s="69" t="s">
        <v>476</v>
      </c>
      <c r="E261" s="8">
        <v>439.7457</v>
      </c>
      <c r="F261" s="8" t="s">
        <v>9</v>
      </c>
      <c r="G261" s="8" t="s">
        <v>1</v>
      </c>
      <c r="H261" s="8">
        <v>3</v>
      </c>
      <c r="I261" s="7" t="s">
        <v>475</v>
      </c>
      <c r="K261" s="1"/>
      <c r="L261" s="1"/>
    </row>
    <row r="262" spans="1:12" customFormat="1" x14ac:dyDescent="0.2">
      <c r="A262" s="11" t="s">
        <v>474</v>
      </c>
      <c r="B262" s="79" t="s">
        <v>17</v>
      </c>
      <c r="C262" s="8" t="s">
        <v>17</v>
      </c>
      <c r="D262" s="69" t="s">
        <v>17</v>
      </c>
      <c r="E262" s="8" t="s">
        <v>17</v>
      </c>
      <c r="F262" s="8" t="s">
        <v>17</v>
      </c>
      <c r="G262" s="8" t="s">
        <v>17</v>
      </c>
      <c r="H262" s="10" t="s">
        <v>17</v>
      </c>
      <c r="I262" s="7" t="s">
        <v>17</v>
      </c>
      <c r="K262" s="1"/>
      <c r="L262" s="1"/>
    </row>
    <row r="263" spans="1:12" customFormat="1" x14ac:dyDescent="0.2">
      <c r="A263" s="9" t="s">
        <v>1486</v>
      </c>
      <c r="B263" s="8" t="s">
        <v>473</v>
      </c>
      <c r="C263" s="8">
        <v>2336</v>
      </c>
      <c r="D263" s="69" t="s">
        <v>458</v>
      </c>
      <c r="E263" s="8">
        <v>252.09389999999999</v>
      </c>
      <c r="F263" s="8" t="s">
        <v>9</v>
      </c>
      <c r="G263" s="8" t="s">
        <v>1</v>
      </c>
      <c r="H263" s="8">
        <v>1</v>
      </c>
      <c r="I263" s="7" t="s">
        <v>445</v>
      </c>
      <c r="K263" s="1"/>
      <c r="L263" s="1"/>
    </row>
    <row r="264" spans="1:12" customFormat="1" x14ac:dyDescent="0.2">
      <c r="A264" s="9" t="s">
        <v>3340</v>
      </c>
      <c r="B264" s="8" t="s">
        <v>472</v>
      </c>
      <c r="C264" s="8">
        <v>6001</v>
      </c>
      <c r="D264" s="69" t="s">
        <v>471</v>
      </c>
      <c r="E264" s="8">
        <v>256.12520000000001</v>
      </c>
      <c r="F264" s="8" t="s">
        <v>9</v>
      </c>
      <c r="G264" s="8" t="s">
        <v>1</v>
      </c>
      <c r="H264" s="8" t="s">
        <v>1</v>
      </c>
      <c r="I264" s="7" t="s">
        <v>437</v>
      </c>
      <c r="K264" s="1"/>
      <c r="L264" s="1"/>
    </row>
    <row r="265" spans="1:12" customFormat="1" x14ac:dyDescent="0.2">
      <c r="A265" s="9" t="s">
        <v>3337</v>
      </c>
      <c r="B265" s="8" t="s">
        <v>470</v>
      </c>
      <c r="C265" s="8">
        <v>1674</v>
      </c>
      <c r="D265" s="69" t="s">
        <v>469</v>
      </c>
      <c r="E265" s="8">
        <v>268.12520000000001</v>
      </c>
      <c r="F265" s="8" t="s">
        <v>9</v>
      </c>
      <c r="G265" s="8" t="s">
        <v>1</v>
      </c>
      <c r="H265" s="8" t="s">
        <v>1</v>
      </c>
      <c r="I265" s="7" t="s">
        <v>437</v>
      </c>
      <c r="K265" s="1"/>
      <c r="L265" s="1"/>
    </row>
    <row r="266" spans="1:12" customFormat="1" x14ac:dyDescent="0.2">
      <c r="A266" s="9" t="s">
        <v>1069</v>
      </c>
      <c r="B266" s="8" t="s">
        <v>468</v>
      </c>
      <c r="C266" s="8">
        <v>7055</v>
      </c>
      <c r="D266" s="69" t="s">
        <v>467</v>
      </c>
      <c r="E266" s="8">
        <v>142.07830000000001</v>
      </c>
      <c r="F266" s="8" t="s">
        <v>1</v>
      </c>
      <c r="G266" s="8" t="s">
        <v>1</v>
      </c>
      <c r="H266" s="8" t="s">
        <v>1</v>
      </c>
      <c r="I266" s="7" t="s">
        <v>361</v>
      </c>
      <c r="K266" s="1"/>
      <c r="L266" s="1"/>
    </row>
    <row r="267" spans="1:12" customFormat="1" x14ac:dyDescent="0.2">
      <c r="A267" s="9" t="s">
        <v>1491</v>
      </c>
      <c r="B267" s="8" t="s">
        <v>466</v>
      </c>
      <c r="C267" s="8">
        <v>5889</v>
      </c>
      <c r="D267" s="69" t="s">
        <v>465</v>
      </c>
      <c r="E267" s="8">
        <v>278.1096</v>
      </c>
      <c r="F267" s="8" t="s">
        <v>9</v>
      </c>
      <c r="G267" s="8" t="s">
        <v>1</v>
      </c>
      <c r="H267" s="8" t="s">
        <v>332</v>
      </c>
      <c r="I267" s="7" t="s">
        <v>437</v>
      </c>
      <c r="K267" s="1"/>
      <c r="L267" s="1"/>
    </row>
    <row r="268" spans="1:12" customFormat="1" x14ac:dyDescent="0.2">
      <c r="A268" s="9" t="s">
        <v>1074</v>
      </c>
      <c r="B268" s="8" t="s">
        <v>464</v>
      </c>
      <c r="C268" s="8">
        <v>9161</v>
      </c>
      <c r="D268" s="69" t="s">
        <v>463</v>
      </c>
      <c r="E268" s="8">
        <v>152.0626</v>
      </c>
      <c r="F268" s="8" t="s">
        <v>9</v>
      </c>
      <c r="G268" s="8" t="s">
        <v>1</v>
      </c>
      <c r="H268" s="8" t="s">
        <v>332</v>
      </c>
      <c r="I268" s="7" t="s">
        <v>462</v>
      </c>
      <c r="K268" s="1"/>
      <c r="L268" s="1"/>
    </row>
    <row r="269" spans="1:12" customFormat="1" x14ac:dyDescent="0.2">
      <c r="A269" s="9" t="s">
        <v>1482</v>
      </c>
      <c r="B269" s="8" t="s">
        <v>461</v>
      </c>
      <c r="C269" s="8">
        <v>9158</v>
      </c>
      <c r="D269" s="69" t="s">
        <v>458</v>
      </c>
      <c r="E269" s="8">
        <v>252.09389999999999</v>
      </c>
      <c r="F269" s="8" t="s">
        <v>9</v>
      </c>
      <c r="G269" s="8" t="s">
        <v>9</v>
      </c>
      <c r="H269" s="8" t="s">
        <v>69</v>
      </c>
      <c r="I269" s="7" t="s">
        <v>361</v>
      </c>
      <c r="K269" s="1"/>
      <c r="L269" s="1"/>
    </row>
    <row r="270" spans="1:12" customFormat="1" x14ac:dyDescent="0.2">
      <c r="A270" s="9" t="s">
        <v>1078</v>
      </c>
      <c r="B270" s="8" t="s">
        <v>460</v>
      </c>
      <c r="C270" s="8">
        <v>5954</v>
      </c>
      <c r="D270" s="69" t="s">
        <v>452</v>
      </c>
      <c r="E270" s="8">
        <v>228.09389999999999</v>
      </c>
      <c r="F270" s="8" t="s">
        <v>9</v>
      </c>
      <c r="G270" s="8" t="s">
        <v>9</v>
      </c>
      <c r="H270" s="8" t="s">
        <v>69</v>
      </c>
      <c r="I270" s="7" t="s">
        <v>437</v>
      </c>
      <c r="K270" s="1"/>
      <c r="L270" s="1"/>
    </row>
    <row r="271" spans="1:12" customFormat="1" x14ac:dyDescent="0.2">
      <c r="A271" s="9" t="s">
        <v>1479</v>
      </c>
      <c r="B271" s="8" t="s">
        <v>459</v>
      </c>
      <c r="C271" s="8">
        <v>9153</v>
      </c>
      <c r="D271" s="69" t="s">
        <v>458</v>
      </c>
      <c r="E271" s="8">
        <v>252.09389999999999</v>
      </c>
      <c r="F271" s="8" t="s">
        <v>9</v>
      </c>
      <c r="G271" s="8" t="s">
        <v>1</v>
      </c>
      <c r="H271" s="8" t="s">
        <v>69</v>
      </c>
      <c r="I271" s="7" t="s">
        <v>437</v>
      </c>
      <c r="K271" s="1"/>
      <c r="L271" s="1"/>
    </row>
    <row r="272" spans="1:12" customFormat="1" x14ac:dyDescent="0.2">
      <c r="A272" s="9" t="s">
        <v>1089</v>
      </c>
      <c r="B272" s="8" t="s">
        <v>457</v>
      </c>
      <c r="C272" s="8">
        <v>931</v>
      </c>
      <c r="D272" s="69" t="s">
        <v>456</v>
      </c>
      <c r="E272" s="8">
        <v>128.0626</v>
      </c>
      <c r="F272" s="8" t="s">
        <v>1</v>
      </c>
      <c r="G272" s="8" t="s">
        <v>9</v>
      </c>
      <c r="H272" s="8" t="s">
        <v>69</v>
      </c>
      <c r="I272" s="7" t="s">
        <v>361</v>
      </c>
      <c r="K272" s="1"/>
      <c r="L272" s="1"/>
    </row>
    <row r="273" spans="1:12" customFormat="1" x14ac:dyDescent="0.2">
      <c r="A273" s="9" t="s">
        <v>1076</v>
      </c>
      <c r="B273" s="8" t="s">
        <v>455</v>
      </c>
      <c r="C273" s="8">
        <v>8418</v>
      </c>
      <c r="D273" s="69" t="s">
        <v>454</v>
      </c>
      <c r="E273" s="8">
        <v>178.07830000000001</v>
      </c>
      <c r="F273" s="8" t="s">
        <v>1</v>
      </c>
      <c r="G273" s="8" t="s">
        <v>9</v>
      </c>
      <c r="H273" s="8" t="s">
        <v>69</v>
      </c>
      <c r="I273" s="7" t="s">
        <v>377</v>
      </c>
      <c r="K273" s="1"/>
      <c r="L273" s="1"/>
    </row>
    <row r="274" spans="1:12" customFormat="1" x14ac:dyDescent="0.2">
      <c r="A274" s="9" t="s">
        <v>1083</v>
      </c>
      <c r="B274" s="8" t="s">
        <v>453</v>
      </c>
      <c r="C274" s="8">
        <v>9171</v>
      </c>
      <c r="D274" s="69" t="s">
        <v>452</v>
      </c>
      <c r="E274" s="8">
        <v>228.09389999999999</v>
      </c>
      <c r="F274" s="8" t="s">
        <v>1</v>
      </c>
      <c r="G274" s="8" t="s">
        <v>9</v>
      </c>
      <c r="H274" s="8" t="s">
        <v>69</v>
      </c>
      <c r="I274" s="7" t="s">
        <v>437</v>
      </c>
      <c r="K274" s="1"/>
      <c r="L274" s="1"/>
    </row>
    <row r="275" spans="1:12" customFormat="1" x14ac:dyDescent="0.2">
      <c r="A275" s="9" t="s">
        <v>3308</v>
      </c>
      <c r="B275" s="8" t="s">
        <v>451</v>
      </c>
      <c r="C275" s="8">
        <v>9131</v>
      </c>
      <c r="D275" s="69" t="s">
        <v>446</v>
      </c>
      <c r="E275" s="8">
        <v>276.09390000000002</v>
      </c>
      <c r="F275" s="8" t="s">
        <v>1</v>
      </c>
      <c r="G275" s="8" t="s">
        <v>1</v>
      </c>
      <c r="H275" s="8" t="s">
        <v>69</v>
      </c>
      <c r="I275" s="7" t="s">
        <v>445</v>
      </c>
      <c r="K275" s="1"/>
      <c r="L275" s="1"/>
    </row>
    <row r="276" spans="1:12" customFormat="1" x14ac:dyDescent="0.2">
      <c r="A276" s="9" t="s">
        <v>1087</v>
      </c>
      <c r="B276" s="8" t="s">
        <v>450</v>
      </c>
      <c r="C276" s="8">
        <v>9154</v>
      </c>
      <c r="D276" s="69" t="s">
        <v>448</v>
      </c>
      <c r="E276" s="8">
        <v>202.07830000000001</v>
      </c>
      <c r="F276" s="8" t="s">
        <v>9</v>
      </c>
      <c r="G276" s="8" t="s">
        <v>9</v>
      </c>
      <c r="H276" s="8">
        <v>3</v>
      </c>
      <c r="I276" s="7" t="s">
        <v>361</v>
      </c>
      <c r="K276" s="1"/>
      <c r="L276" s="1"/>
    </row>
    <row r="277" spans="1:12" customFormat="1" x14ac:dyDescent="0.2">
      <c r="A277" s="9" t="s">
        <v>1094</v>
      </c>
      <c r="B277" s="8" t="s">
        <v>449</v>
      </c>
      <c r="C277" s="8">
        <v>31423</v>
      </c>
      <c r="D277" s="69" t="s">
        <v>448</v>
      </c>
      <c r="E277" s="8">
        <v>202.07820000000001</v>
      </c>
      <c r="F277" s="8" t="s">
        <v>1</v>
      </c>
      <c r="G277" s="8" t="s">
        <v>9</v>
      </c>
      <c r="H277" s="8">
        <v>3</v>
      </c>
      <c r="I277" s="7" t="s">
        <v>445</v>
      </c>
      <c r="K277" s="1"/>
      <c r="L277" s="1"/>
    </row>
    <row r="278" spans="1:12" customFormat="1" x14ac:dyDescent="0.2">
      <c r="A278" s="9" t="s">
        <v>3307</v>
      </c>
      <c r="B278" s="8" t="s">
        <v>447</v>
      </c>
      <c r="C278" s="8">
        <v>9117</v>
      </c>
      <c r="D278" s="69" t="s">
        <v>446</v>
      </c>
      <c r="E278" s="8">
        <v>276.09390000000002</v>
      </c>
      <c r="F278" s="8" t="s">
        <v>1</v>
      </c>
      <c r="G278" s="8" t="s">
        <v>1</v>
      </c>
      <c r="H278" s="8">
        <v>3</v>
      </c>
      <c r="I278" s="7" t="s">
        <v>445</v>
      </c>
      <c r="K278" s="1"/>
      <c r="L278" s="1"/>
    </row>
    <row r="279" spans="1:12" customFormat="1" x14ac:dyDescent="0.2">
      <c r="A279" s="9" t="s">
        <v>1469</v>
      </c>
      <c r="B279" s="8" t="s">
        <v>444</v>
      </c>
      <c r="C279" s="8">
        <v>6734</v>
      </c>
      <c r="D279" s="69" t="s">
        <v>443</v>
      </c>
      <c r="E279" s="8">
        <v>154.07830000000001</v>
      </c>
      <c r="F279" s="8" t="s">
        <v>1</v>
      </c>
      <c r="G279" s="8" t="s">
        <v>1</v>
      </c>
      <c r="H279" s="8">
        <v>3</v>
      </c>
      <c r="I279" s="7" t="s">
        <v>361</v>
      </c>
      <c r="K279" s="1"/>
      <c r="L279" s="1"/>
    </row>
    <row r="280" spans="1:12" customFormat="1" x14ac:dyDescent="0.2">
      <c r="A280" s="9" t="s">
        <v>2312</v>
      </c>
      <c r="B280" s="8" t="s">
        <v>442</v>
      </c>
      <c r="C280" s="8">
        <v>6853</v>
      </c>
      <c r="D280" s="69" t="s">
        <v>441</v>
      </c>
      <c r="E280" s="8">
        <v>166.07830000000001</v>
      </c>
      <c r="F280" s="8" t="s">
        <v>1</v>
      </c>
      <c r="G280" s="8" t="s">
        <v>1</v>
      </c>
      <c r="H280" s="8">
        <v>3</v>
      </c>
      <c r="I280" s="7" t="s">
        <v>440</v>
      </c>
      <c r="K280" s="1"/>
      <c r="L280" s="1"/>
    </row>
    <row r="281" spans="1:12" customFormat="1" x14ac:dyDescent="0.2">
      <c r="A281" s="9" t="s">
        <v>1092</v>
      </c>
      <c r="B281" s="8" t="s">
        <v>439</v>
      </c>
      <c r="C281" s="8">
        <v>995</v>
      </c>
      <c r="D281" s="69" t="s">
        <v>438</v>
      </c>
      <c r="E281" s="8">
        <v>178.07830000000001</v>
      </c>
      <c r="F281" s="8" t="s">
        <v>1</v>
      </c>
      <c r="G281" s="8" t="s">
        <v>1</v>
      </c>
      <c r="H281" s="8">
        <v>3</v>
      </c>
      <c r="I281" s="7" t="s">
        <v>437</v>
      </c>
      <c r="K281" s="1"/>
      <c r="L281" s="1"/>
    </row>
    <row r="282" spans="1:12" customFormat="1" x14ac:dyDescent="0.2">
      <c r="A282" s="12" t="s">
        <v>436</v>
      </c>
      <c r="B282" s="8" t="s">
        <v>17</v>
      </c>
      <c r="C282" s="8" t="s">
        <v>17</v>
      </c>
      <c r="D282" s="69" t="s">
        <v>17</v>
      </c>
      <c r="E282" s="8" t="s">
        <v>17</v>
      </c>
      <c r="F282" s="8" t="s">
        <v>17</v>
      </c>
      <c r="G282" s="8" t="s">
        <v>17</v>
      </c>
      <c r="H282" s="8" t="s">
        <v>17</v>
      </c>
      <c r="I282" s="7" t="s">
        <v>17</v>
      </c>
      <c r="K282" s="1"/>
      <c r="L282" s="1"/>
    </row>
    <row r="283" spans="1:12" customFormat="1" x14ac:dyDescent="0.2">
      <c r="A283" s="9" t="s">
        <v>3352</v>
      </c>
      <c r="B283" s="8" t="s">
        <v>435</v>
      </c>
      <c r="C283" s="8">
        <v>6359</v>
      </c>
      <c r="D283" s="69" t="s">
        <v>434</v>
      </c>
      <c r="E283" s="8">
        <v>161.8639</v>
      </c>
      <c r="F283" s="8" t="s">
        <v>9</v>
      </c>
      <c r="G283" s="8" t="s">
        <v>9</v>
      </c>
      <c r="H283" s="8" t="s">
        <v>69</v>
      </c>
      <c r="I283" s="7" t="s">
        <v>265</v>
      </c>
      <c r="K283" s="1"/>
      <c r="L283" s="1"/>
    </row>
    <row r="284" spans="1:12" customFormat="1" x14ac:dyDescent="0.2">
      <c r="A284" s="9" t="s">
        <v>3300</v>
      </c>
      <c r="B284" s="8" t="s">
        <v>433</v>
      </c>
      <c r="C284" s="8">
        <v>31296</v>
      </c>
      <c r="D284" s="69" t="s">
        <v>432</v>
      </c>
      <c r="E284" s="8">
        <v>205.8134</v>
      </c>
      <c r="F284" s="8" t="s">
        <v>1</v>
      </c>
      <c r="G284" s="8" t="s">
        <v>1</v>
      </c>
      <c r="H284" s="8">
        <v>3</v>
      </c>
      <c r="I284" s="7" t="s">
        <v>265</v>
      </c>
      <c r="K284" s="1"/>
      <c r="L284" s="1"/>
    </row>
    <row r="285" spans="1:12" customFormat="1" x14ac:dyDescent="0.2">
      <c r="A285" s="12" t="s">
        <v>431</v>
      </c>
      <c r="B285" s="8" t="s">
        <v>17</v>
      </c>
      <c r="C285" s="8" t="s">
        <v>17</v>
      </c>
      <c r="D285" s="69" t="s">
        <v>17</v>
      </c>
      <c r="E285" s="8" t="s">
        <v>17</v>
      </c>
      <c r="F285" s="8" t="s">
        <v>17</v>
      </c>
      <c r="G285" s="8" t="s">
        <v>17</v>
      </c>
      <c r="H285" s="8" t="s">
        <v>17</v>
      </c>
      <c r="I285" s="7" t="s">
        <v>17</v>
      </c>
      <c r="K285" s="1"/>
      <c r="L285" s="1"/>
    </row>
    <row r="286" spans="1:12" customFormat="1" x14ac:dyDescent="0.2">
      <c r="A286" s="9" t="s">
        <v>1134</v>
      </c>
      <c r="B286" s="8" t="s">
        <v>430</v>
      </c>
      <c r="C286" s="8">
        <v>7242</v>
      </c>
      <c r="D286" s="69" t="s">
        <v>429</v>
      </c>
      <c r="E286" s="8">
        <v>107.0735</v>
      </c>
      <c r="F286" s="8" t="s">
        <v>1</v>
      </c>
      <c r="G286" s="8" t="s">
        <v>9</v>
      </c>
      <c r="H286" s="8">
        <v>1</v>
      </c>
      <c r="I286" s="7" t="s">
        <v>0</v>
      </c>
      <c r="K286" s="1"/>
      <c r="L286" s="1"/>
    </row>
    <row r="287" spans="1:12" customFormat="1" x14ac:dyDescent="0.2">
      <c r="A287" s="9" t="s">
        <v>1513</v>
      </c>
      <c r="B287" s="8" t="s">
        <v>428</v>
      </c>
      <c r="C287" s="8">
        <v>7111</v>
      </c>
      <c r="D287" s="69" t="s">
        <v>427</v>
      </c>
      <c r="E287" s="8">
        <v>184.1</v>
      </c>
      <c r="F287" s="8" t="s">
        <v>1</v>
      </c>
      <c r="G287" s="8" t="s">
        <v>1</v>
      </c>
      <c r="H287" s="8">
        <v>1</v>
      </c>
      <c r="I287" s="7" t="s">
        <v>0</v>
      </c>
      <c r="K287" s="1"/>
      <c r="L287" s="1"/>
    </row>
    <row r="288" spans="1:12" customFormat="1" x14ac:dyDescent="0.2">
      <c r="A288" s="9" t="s">
        <v>1506</v>
      </c>
      <c r="B288" s="8" t="s">
        <v>426</v>
      </c>
      <c r="C288" s="8">
        <v>7015</v>
      </c>
      <c r="D288" s="69" t="s">
        <v>425</v>
      </c>
      <c r="E288" s="8">
        <v>169.08920000000001</v>
      </c>
      <c r="F288" s="8" t="s">
        <v>1</v>
      </c>
      <c r="G288" s="8" t="s">
        <v>1</v>
      </c>
      <c r="H288" s="8">
        <v>1</v>
      </c>
      <c r="I288" s="7" t="s">
        <v>0</v>
      </c>
      <c r="K288" s="1"/>
      <c r="L288" s="1"/>
    </row>
    <row r="289" spans="1:12" customFormat="1" x14ac:dyDescent="0.2">
      <c r="A289" s="9" t="s">
        <v>1510</v>
      </c>
      <c r="B289" s="8" t="s">
        <v>424</v>
      </c>
      <c r="C289" s="8">
        <v>7102</v>
      </c>
      <c r="D289" s="69" t="s">
        <v>423</v>
      </c>
      <c r="E289" s="8">
        <v>169.0891</v>
      </c>
      <c r="F289" s="8" t="s">
        <v>1</v>
      </c>
      <c r="G289" s="8" t="s">
        <v>1</v>
      </c>
      <c r="H289" s="8">
        <v>1</v>
      </c>
      <c r="I289" s="7" t="s">
        <v>0</v>
      </c>
      <c r="K289" s="1"/>
      <c r="L289" s="1"/>
    </row>
    <row r="290" spans="1:12" customFormat="1" x14ac:dyDescent="0.2">
      <c r="A290" s="9" t="s">
        <v>1107</v>
      </c>
      <c r="B290" s="8" t="s">
        <v>422</v>
      </c>
      <c r="C290" s="8">
        <v>7057</v>
      </c>
      <c r="D290" s="69" t="s">
        <v>362</v>
      </c>
      <c r="E290" s="8">
        <v>143.0735</v>
      </c>
      <c r="F290" s="8" t="s">
        <v>1</v>
      </c>
      <c r="G290" s="8" t="s">
        <v>1</v>
      </c>
      <c r="H290" s="8">
        <v>1</v>
      </c>
      <c r="I290" s="7" t="s">
        <v>361</v>
      </c>
      <c r="K290" s="1"/>
      <c r="L290" s="1"/>
    </row>
    <row r="291" spans="1:12" customFormat="1" x14ac:dyDescent="0.2">
      <c r="A291" s="9" t="s">
        <v>3370</v>
      </c>
      <c r="B291" s="8" t="s">
        <v>421</v>
      </c>
      <c r="C291" s="8">
        <v>7257</v>
      </c>
      <c r="D291" s="69" t="s">
        <v>420</v>
      </c>
      <c r="E291" s="8">
        <v>160.97989999999999</v>
      </c>
      <c r="F291" s="8" t="s">
        <v>9</v>
      </c>
      <c r="G291" s="8" t="s">
        <v>1</v>
      </c>
      <c r="H291" s="8" t="s">
        <v>1</v>
      </c>
      <c r="I291" s="7" t="s">
        <v>0</v>
      </c>
      <c r="K291" s="1"/>
      <c r="L291" s="1"/>
    </row>
    <row r="292" spans="1:12" customFormat="1" x14ac:dyDescent="0.2">
      <c r="A292" s="9" t="s">
        <v>2902</v>
      </c>
      <c r="B292" s="8" t="s">
        <v>419</v>
      </c>
      <c r="C292" s="8">
        <v>6894</v>
      </c>
      <c r="D292" s="69" t="s">
        <v>418</v>
      </c>
      <c r="E292" s="8">
        <v>141.03450000000001</v>
      </c>
      <c r="F292" s="8" t="s">
        <v>1</v>
      </c>
      <c r="G292" s="8" t="s">
        <v>9</v>
      </c>
      <c r="H292" s="8" t="s">
        <v>1</v>
      </c>
      <c r="I292" s="7" t="s">
        <v>0</v>
      </c>
      <c r="K292" s="1"/>
      <c r="L292" s="1"/>
    </row>
    <row r="293" spans="1:12" customFormat="1" x14ac:dyDescent="0.2">
      <c r="A293" s="9" t="s">
        <v>1109</v>
      </c>
      <c r="B293" s="8" t="s">
        <v>417</v>
      </c>
      <c r="C293" s="8">
        <v>6946</v>
      </c>
      <c r="D293" s="69" t="s">
        <v>410</v>
      </c>
      <c r="E293" s="8">
        <v>138.0429</v>
      </c>
      <c r="F293" s="8" t="s">
        <v>1</v>
      </c>
      <c r="G293" s="8" t="s">
        <v>9</v>
      </c>
      <c r="H293" s="8" t="s">
        <v>1</v>
      </c>
      <c r="I293" s="7" t="s">
        <v>0</v>
      </c>
      <c r="K293" s="1"/>
      <c r="L293" s="1"/>
    </row>
    <row r="294" spans="1:12" customFormat="1" x14ac:dyDescent="0.2">
      <c r="A294" s="9" t="s">
        <v>2668</v>
      </c>
      <c r="B294" s="8" t="s">
        <v>416</v>
      </c>
      <c r="C294" s="8">
        <v>6740</v>
      </c>
      <c r="D294" s="69" t="s">
        <v>413</v>
      </c>
      <c r="E294" s="8">
        <v>171.0087</v>
      </c>
      <c r="F294" s="8" t="s">
        <v>1</v>
      </c>
      <c r="G294" s="8" t="s">
        <v>1</v>
      </c>
      <c r="H294" s="8" t="s">
        <v>1</v>
      </c>
      <c r="I294" s="7" t="s">
        <v>0</v>
      </c>
      <c r="K294" s="1"/>
      <c r="L294" s="1"/>
    </row>
    <row r="295" spans="1:12" customFormat="1" x14ac:dyDescent="0.2">
      <c r="A295" s="9" t="s">
        <v>2670</v>
      </c>
      <c r="B295" s="8" t="s">
        <v>415</v>
      </c>
      <c r="C295" s="8">
        <v>6975</v>
      </c>
      <c r="D295" s="69" t="s">
        <v>413</v>
      </c>
      <c r="E295" s="8">
        <v>171.0087</v>
      </c>
      <c r="F295" s="8" t="s">
        <v>1</v>
      </c>
      <c r="G295" s="8" t="s">
        <v>1</v>
      </c>
      <c r="H295" s="8" t="s">
        <v>1</v>
      </c>
      <c r="I295" s="7" t="s">
        <v>0</v>
      </c>
      <c r="K295" s="1"/>
      <c r="L295" s="1"/>
    </row>
    <row r="296" spans="1:12" customFormat="1" x14ac:dyDescent="0.2">
      <c r="A296" s="9" t="s">
        <v>2672</v>
      </c>
      <c r="B296" s="8" t="s">
        <v>414</v>
      </c>
      <c r="C296" s="8">
        <v>6976</v>
      </c>
      <c r="D296" s="69" t="s">
        <v>413</v>
      </c>
      <c r="E296" s="8">
        <v>171.0087</v>
      </c>
      <c r="F296" s="8" t="s">
        <v>1</v>
      </c>
      <c r="G296" s="8" t="s">
        <v>1</v>
      </c>
      <c r="H296" s="8" t="s">
        <v>1</v>
      </c>
      <c r="I296" s="7" t="s">
        <v>0</v>
      </c>
      <c r="K296" s="1"/>
      <c r="L296" s="1"/>
    </row>
    <row r="297" spans="1:12" customFormat="1" x14ac:dyDescent="0.2">
      <c r="A297" s="9" t="s">
        <v>2292</v>
      </c>
      <c r="B297" s="8" t="s">
        <v>412</v>
      </c>
      <c r="C297" s="8">
        <v>7475</v>
      </c>
      <c r="D297" s="69" t="s">
        <v>410</v>
      </c>
      <c r="E297" s="8">
        <v>138.0429</v>
      </c>
      <c r="F297" s="8" t="s">
        <v>1</v>
      </c>
      <c r="G297" s="8" t="s">
        <v>1</v>
      </c>
      <c r="H297" s="8" t="s">
        <v>1</v>
      </c>
      <c r="I297" s="7" t="s">
        <v>0</v>
      </c>
      <c r="K297" s="1"/>
      <c r="L297" s="1"/>
    </row>
    <row r="298" spans="1:12" customFormat="1" x14ac:dyDescent="0.2">
      <c r="A298" s="9" t="s">
        <v>2290</v>
      </c>
      <c r="B298" s="8" t="s">
        <v>411</v>
      </c>
      <c r="C298" s="8">
        <v>7423</v>
      </c>
      <c r="D298" s="69" t="s">
        <v>410</v>
      </c>
      <c r="E298" s="8">
        <v>138.0429</v>
      </c>
      <c r="F298" s="8" t="s">
        <v>1</v>
      </c>
      <c r="G298" s="8" t="s">
        <v>1</v>
      </c>
      <c r="H298" s="8" t="s">
        <v>1</v>
      </c>
      <c r="I298" s="7" t="s">
        <v>0</v>
      </c>
      <c r="K298" s="1"/>
      <c r="L298" s="1"/>
    </row>
    <row r="299" spans="1:12" customFormat="1" x14ac:dyDescent="0.2">
      <c r="A299" s="9" t="s">
        <v>1100</v>
      </c>
      <c r="B299" s="8" t="s">
        <v>409</v>
      </c>
      <c r="C299" s="8">
        <v>7005</v>
      </c>
      <c r="D299" s="69" t="s">
        <v>408</v>
      </c>
      <c r="E299" s="8">
        <v>144.0575</v>
      </c>
      <c r="F299" s="8" t="s">
        <v>1</v>
      </c>
      <c r="G299" s="8" t="s">
        <v>1</v>
      </c>
      <c r="H299" s="8" t="s">
        <v>1</v>
      </c>
      <c r="I299" s="7" t="s">
        <v>361</v>
      </c>
      <c r="K299" s="1"/>
      <c r="L299" s="1"/>
    </row>
    <row r="300" spans="1:12" customFormat="1" x14ac:dyDescent="0.2">
      <c r="A300" s="9" t="s">
        <v>2279</v>
      </c>
      <c r="B300" s="8" t="s">
        <v>407</v>
      </c>
      <c r="C300" s="8">
        <v>6115</v>
      </c>
      <c r="D300" s="69" t="s">
        <v>406</v>
      </c>
      <c r="E300" s="8">
        <v>93.058000000000007</v>
      </c>
      <c r="F300" s="8" t="s">
        <v>9</v>
      </c>
      <c r="G300" s="8" t="s">
        <v>1</v>
      </c>
      <c r="H300" s="8" t="s">
        <v>332</v>
      </c>
      <c r="I300" s="7" t="s">
        <v>0</v>
      </c>
      <c r="K300" s="1"/>
      <c r="L300" s="1"/>
    </row>
    <row r="301" spans="1:12" customFormat="1" x14ac:dyDescent="0.2">
      <c r="A301" s="9" t="s">
        <v>2900</v>
      </c>
      <c r="B301" s="8" t="s">
        <v>405</v>
      </c>
      <c r="C301" s="8">
        <v>7000</v>
      </c>
      <c r="D301" s="69" t="s">
        <v>404</v>
      </c>
      <c r="E301" s="8">
        <v>123.0684</v>
      </c>
      <c r="F301" s="8" t="s">
        <v>1</v>
      </c>
      <c r="G301" s="8" t="s">
        <v>9</v>
      </c>
      <c r="H301" s="8" t="s">
        <v>332</v>
      </c>
      <c r="I301" s="7" t="s">
        <v>138</v>
      </c>
      <c r="K301" s="1"/>
      <c r="L301" s="1"/>
    </row>
    <row r="302" spans="1:12" customFormat="1" x14ac:dyDescent="0.2">
      <c r="A302" s="9" t="s">
        <v>3297</v>
      </c>
      <c r="B302" s="8" t="s">
        <v>403</v>
      </c>
      <c r="C302" s="8">
        <v>8413</v>
      </c>
      <c r="D302" s="69" t="s">
        <v>402</v>
      </c>
      <c r="E302" s="8">
        <v>212.13140000000001</v>
      </c>
      <c r="F302" s="8" t="s">
        <v>9</v>
      </c>
      <c r="G302" s="8" t="s">
        <v>9</v>
      </c>
      <c r="H302" s="8" t="s">
        <v>69</v>
      </c>
      <c r="I302" s="7" t="s">
        <v>0</v>
      </c>
      <c r="K302" s="1"/>
      <c r="L302" s="1"/>
    </row>
    <row r="303" spans="1:12" customFormat="1" x14ac:dyDescent="0.2">
      <c r="A303" s="9" t="s">
        <v>3161</v>
      </c>
      <c r="B303" s="8" t="s">
        <v>401</v>
      </c>
      <c r="C303" s="8">
        <v>7340</v>
      </c>
      <c r="D303" s="69" t="s">
        <v>400</v>
      </c>
      <c r="E303" s="8">
        <v>225.1266</v>
      </c>
      <c r="F303" s="8" t="s">
        <v>9</v>
      </c>
      <c r="G303" s="8" t="s">
        <v>9</v>
      </c>
      <c r="H303" s="8" t="s">
        <v>69</v>
      </c>
      <c r="I303" s="7" t="s">
        <v>358</v>
      </c>
      <c r="K303" s="1"/>
      <c r="L303" s="1"/>
    </row>
    <row r="304" spans="1:12" customFormat="1" x14ac:dyDescent="0.2">
      <c r="A304" s="9" t="s">
        <v>3200</v>
      </c>
      <c r="B304" s="8" t="s">
        <v>399</v>
      </c>
      <c r="C304" s="8">
        <v>8411</v>
      </c>
      <c r="D304" s="69" t="s">
        <v>398</v>
      </c>
      <c r="E304" s="8">
        <v>244.12119999999999</v>
      </c>
      <c r="F304" s="8" t="s">
        <v>9</v>
      </c>
      <c r="G304" s="8" t="s">
        <v>1</v>
      </c>
      <c r="H304" s="8" t="s">
        <v>69</v>
      </c>
      <c r="I304" s="7" t="s">
        <v>0</v>
      </c>
      <c r="K304" s="1"/>
      <c r="L304" s="1"/>
    </row>
    <row r="305" spans="1:12" customFormat="1" x14ac:dyDescent="0.2">
      <c r="A305" s="9" t="s">
        <v>3305</v>
      </c>
      <c r="B305" s="8" t="s">
        <v>397</v>
      </c>
      <c r="C305" s="8">
        <v>8765</v>
      </c>
      <c r="D305" s="69" t="s">
        <v>396</v>
      </c>
      <c r="E305" s="8">
        <v>216.07210000000001</v>
      </c>
      <c r="F305" s="8" t="s">
        <v>1</v>
      </c>
      <c r="G305" s="8" t="s">
        <v>9</v>
      </c>
      <c r="H305" s="8" t="s">
        <v>69</v>
      </c>
      <c r="I305" s="7" t="s">
        <v>395</v>
      </c>
      <c r="K305" s="1"/>
      <c r="L305" s="1"/>
    </row>
    <row r="306" spans="1:12" customFormat="1" x14ac:dyDescent="0.2">
      <c r="A306" s="9" t="s">
        <v>3216</v>
      </c>
      <c r="B306" s="8" t="s">
        <v>394</v>
      </c>
      <c r="C306" s="8">
        <v>13283</v>
      </c>
      <c r="D306" s="69" t="s">
        <v>393</v>
      </c>
      <c r="E306" s="8">
        <v>226.14699999999999</v>
      </c>
      <c r="F306" s="8" t="s">
        <v>1</v>
      </c>
      <c r="G306" s="8" t="s">
        <v>1</v>
      </c>
      <c r="H306" s="8" t="s">
        <v>69</v>
      </c>
      <c r="I306" s="7" t="s">
        <v>0</v>
      </c>
      <c r="K306" s="1"/>
      <c r="L306" s="1"/>
    </row>
    <row r="307" spans="1:12" customFormat="1" x14ac:dyDescent="0.2">
      <c r="A307" s="9" t="s">
        <v>3343</v>
      </c>
      <c r="B307" s="8" t="s">
        <v>392</v>
      </c>
      <c r="C307" s="8">
        <v>6053</v>
      </c>
      <c r="D307" s="69" t="s">
        <v>391</v>
      </c>
      <c r="E307" s="8">
        <v>225.1266</v>
      </c>
      <c r="F307" s="8" t="s">
        <v>1</v>
      </c>
      <c r="G307" s="8" t="s">
        <v>1</v>
      </c>
      <c r="H307" s="8" t="s">
        <v>69</v>
      </c>
      <c r="I307" s="7" t="s">
        <v>358</v>
      </c>
      <c r="K307" s="1"/>
      <c r="L307" s="1"/>
    </row>
    <row r="308" spans="1:12" customFormat="1" x14ac:dyDescent="0.2">
      <c r="A308" s="9" t="s">
        <v>3291</v>
      </c>
      <c r="B308" s="8" t="s">
        <v>390</v>
      </c>
      <c r="C308" s="8">
        <v>7474</v>
      </c>
      <c r="D308" s="69" t="s">
        <v>388</v>
      </c>
      <c r="E308" s="8">
        <v>156.9931</v>
      </c>
      <c r="F308" s="8" t="s">
        <v>1</v>
      </c>
      <c r="G308" s="8" t="s">
        <v>1</v>
      </c>
      <c r="H308" s="8" t="s">
        <v>69</v>
      </c>
      <c r="I308" s="7" t="s">
        <v>0</v>
      </c>
      <c r="K308" s="1"/>
      <c r="L308" s="1"/>
    </row>
    <row r="309" spans="1:12" customFormat="1" x14ac:dyDescent="0.2">
      <c r="A309" s="9" t="s">
        <v>3364</v>
      </c>
      <c r="B309" s="8" t="s">
        <v>389</v>
      </c>
      <c r="C309" s="8">
        <v>6945</v>
      </c>
      <c r="D309" s="69" t="s">
        <v>388</v>
      </c>
      <c r="E309" s="8">
        <v>156.9931</v>
      </c>
      <c r="F309" s="8" t="s">
        <v>1</v>
      </c>
      <c r="G309" s="8" t="s">
        <v>1</v>
      </c>
      <c r="H309" s="8" t="s">
        <v>69</v>
      </c>
      <c r="I309" s="7" t="s">
        <v>0</v>
      </c>
      <c r="K309" s="1"/>
      <c r="L309" s="1"/>
    </row>
    <row r="310" spans="1:12" customFormat="1" x14ac:dyDescent="0.2">
      <c r="A310" s="9" t="s">
        <v>3163</v>
      </c>
      <c r="B310" s="8" t="s">
        <v>387</v>
      </c>
      <c r="C310" s="8">
        <v>7261</v>
      </c>
      <c r="D310" s="69" t="s">
        <v>386</v>
      </c>
      <c r="E310" s="8">
        <v>122.0844</v>
      </c>
      <c r="F310" s="8" t="s">
        <v>1</v>
      </c>
      <c r="G310" s="8" t="s">
        <v>1</v>
      </c>
      <c r="H310" s="8" t="s">
        <v>69</v>
      </c>
      <c r="I310" s="7" t="s">
        <v>0</v>
      </c>
      <c r="K310" s="1"/>
      <c r="L310" s="1"/>
    </row>
    <row r="311" spans="1:12" customFormat="1" x14ac:dyDescent="0.2">
      <c r="A311" s="9" t="s">
        <v>1112</v>
      </c>
      <c r="B311" s="8" t="s">
        <v>385</v>
      </c>
      <c r="C311" s="8">
        <v>11976</v>
      </c>
      <c r="D311" s="69" t="s">
        <v>384</v>
      </c>
      <c r="E311" s="8">
        <v>138.07929999999999</v>
      </c>
      <c r="F311" s="8" t="s">
        <v>1</v>
      </c>
      <c r="G311" s="8" t="s">
        <v>1</v>
      </c>
      <c r="H311" s="8" t="s">
        <v>69</v>
      </c>
      <c r="I311" s="7" t="s">
        <v>138</v>
      </c>
      <c r="K311" s="1"/>
      <c r="L311" s="1"/>
    </row>
    <row r="312" spans="1:12" customFormat="1" x14ac:dyDescent="0.2">
      <c r="A312" s="9" t="s">
        <v>1137</v>
      </c>
      <c r="B312" s="8" t="s">
        <v>383</v>
      </c>
      <c r="C312" s="8">
        <v>6051</v>
      </c>
      <c r="D312" s="69" t="s">
        <v>382</v>
      </c>
      <c r="E312" s="8">
        <v>197.09530000000001</v>
      </c>
      <c r="F312" s="8" t="s">
        <v>1</v>
      </c>
      <c r="G312" s="8" t="s">
        <v>1</v>
      </c>
      <c r="H312" s="8" t="s">
        <v>69</v>
      </c>
      <c r="I312" s="7" t="s">
        <v>358</v>
      </c>
      <c r="K312" s="1"/>
      <c r="L312" s="1"/>
    </row>
    <row r="313" spans="1:12" customFormat="1" x14ac:dyDescent="0.2">
      <c r="A313" s="9" t="s">
        <v>1118</v>
      </c>
      <c r="B313" s="8" t="s">
        <v>381</v>
      </c>
      <c r="C313" s="8">
        <v>7812</v>
      </c>
      <c r="D313" s="69" t="s">
        <v>380</v>
      </c>
      <c r="E313" s="8">
        <v>127.0189</v>
      </c>
      <c r="F313" s="8" t="s">
        <v>1</v>
      </c>
      <c r="G313" s="8" t="s">
        <v>1</v>
      </c>
      <c r="H313" s="8" t="s">
        <v>69</v>
      </c>
      <c r="I313" s="7" t="s">
        <v>0</v>
      </c>
      <c r="K313" s="1"/>
      <c r="L313" s="1"/>
    </row>
    <row r="314" spans="1:12" customFormat="1" x14ac:dyDescent="0.2">
      <c r="A314" s="9" t="s">
        <v>1123</v>
      </c>
      <c r="B314" s="8" t="s">
        <v>379</v>
      </c>
      <c r="C314" s="8">
        <v>6780</v>
      </c>
      <c r="D314" s="69" t="s">
        <v>378</v>
      </c>
      <c r="E314" s="8">
        <v>208.05240000000001</v>
      </c>
      <c r="F314" s="8" t="s">
        <v>1</v>
      </c>
      <c r="G314" s="8" t="s">
        <v>1</v>
      </c>
      <c r="H314" s="8" t="s">
        <v>69</v>
      </c>
      <c r="I314" s="7" t="s">
        <v>377</v>
      </c>
      <c r="K314" s="1"/>
      <c r="L314" s="1"/>
    </row>
    <row r="315" spans="1:12" customFormat="1" x14ac:dyDescent="0.2">
      <c r="A315" s="9" t="s">
        <v>3149</v>
      </c>
      <c r="B315" s="8" t="s">
        <v>376</v>
      </c>
      <c r="C315" s="8">
        <v>8445</v>
      </c>
      <c r="D315" s="69" t="s">
        <v>375</v>
      </c>
      <c r="E315" s="8">
        <v>137.08410000000001</v>
      </c>
      <c r="F315" s="8" t="s">
        <v>1</v>
      </c>
      <c r="G315" s="8" t="s">
        <v>1</v>
      </c>
      <c r="H315" s="8" t="s">
        <v>69</v>
      </c>
      <c r="I315" s="7" t="s">
        <v>138</v>
      </c>
      <c r="K315" s="1"/>
      <c r="L315" s="1"/>
    </row>
    <row r="316" spans="1:12" customFormat="1" x14ac:dyDescent="0.2">
      <c r="A316" s="9" t="s">
        <v>1128</v>
      </c>
      <c r="B316" s="8" t="s">
        <v>374</v>
      </c>
      <c r="C316" s="8">
        <v>6854</v>
      </c>
      <c r="D316" s="69" t="s">
        <v>373</v>
      </c>
      <c r="E316" s="8">
        <v>167.0735</v>
      </c>
      <c r="F316" s="8" t="s">
        <v>1</v>
      </c>
      <c r="G316" s="8" t="s">
        <v>1</v>
      </c>
      <c r="H316" s="8" t="s">
        <v>69</v>
      </c>
      <c r="I316" s="7" t="s">
        <v>372</v>
      </c>
      <c r="K316" s="1"/>
      <c r="L316" s="1"/>
    </row>
    <row r="317" spans="1:12" customFormat="1" x14ac:dyDescent="0.2">
      <c r="A317" s="9" t="s">
        <v>3365</v>
      </c>
      <c r="B317" s="8" t="s">
        <v>371</v>
      </c>
      <c r="C317" s="8">
        <v>7017</v>
      </c>
      <c r="D317" s="69" t="s">
        <v>370</v>
      </c>
      <c r="E317" s="8">
        <v>170.07320000000001</v>
      </c>
      <c r="F317" s="8" t="s">
        <v>9</v>
      </c>
      <c r="G317" s="8" t="s">
        <v>1</v>
      </c>
      <c r="H317" s="8">
        <v>3</v>
      </c>
      <c r="I317" s="7" t="s">
        <v>0</v>
      </c>
      <c r="K317" s="1"/>
      <c r="L317" s="1"/>
    </row>
    <row r="318" spans="1:12" customFormat="1" x14ac:dyDescent="0.2">
      <c r="A318" s="9" t="s">
        <v>3252</v>
      </c>
      <c r="B318" s="8" t="s">
        <v>369</v>
      </c>
      <c r="C318" s="8">
        <v>7814</v>
      </c>
      <c r="D318" s="69" t="s">
        <v>368</v>
      </c>
      <c r="E318" s="8">
        <v>108.06870000000001</v>
      </c>
      <c r="F318" s="8" t="s">
        <v>9</v>
      </c>
      <c r="G318" s="8" t="s">
        <v>1</v>
      </c>
      <c r="H318" s="8">
        <v>3</v>
      </c>
      <c r="I318" s="7" t="s">
        <v>0</v>
      </c>
      <c r="K318" s="1"/>
      <c r="L318" s="1"/>
    </row>
    <row r="319" spans="1:12" customFormat="1" x14ac:dyDescent="0.2">
      <c r="A319" s="9" t="s">
        <v>3289</v>
      </c>
      <c r="B319" s="8" t="s">
        <v>367</v>
      </c>
      <c r="C319" s="8">
        <v>7444</v>
      </c>
      <c r="D319" s="69" t="s">
        <v>366</v>
      </c>
      <c r="E319" s="8">
        <v>152.05860000000001</v>
      </c>
      <c r="F319" s="8" t="s">
        <v>1</v>
      </c>
      <c r="G319" s="8" t="s">
        <v>9</v>
      </c>
      <c r="H319" s="8">
        <v>3</v>
      </c>
      <c r="I319" s="7" t="s">
        <v>0</v>
      </c>
      <c r="K319" s="1"/>
      <c r="L319" s="1"/>
    </row>
    <row r="320" spans="1:12" customFormat="1" x14ac:dyDescent="0.2">
      <c r="A320" s="9" t="s">
        <v>3304</v>
      </c>
      <c r="B320" s="8" t="s">
        <v>365</v>
      </c>
      <c r="C320" s="8">
        <v>8717</v>
      </c>
      <c r="D320" s="69" t="s">
        <v>364</v>
      </c>
      <c r="E320" s="8">
        <v>135.10480000000001</v>
      </c>
      <c r="F320" s="8" t="s">
        <v>1</v>
      </c>
      <c r="G320" s="8" t="s">
        <v>1</v>
      </c>
      <c r="H320" s="8">
        <v>3</v>
      </c>
      <c r="I320" s="7" t="s">
        <v>0</v>
      </c>
      <c r="K320" s="1"/>
      <c r="L320" s="1"/>
    </row>
    <row r="321" spans="1:12" customFormat="1" x14ac:dyDescent="0.2">
      <c r="A321" s="9" t="s">
        <v>1102</v>
      </c>
      <c r="B321" s="8" t="s">
        <v>363</v>
      </c>
      <c r="C321" s="8">
        <v>8640</v>
      </c>
      <c r="D321" s="69" t="s">
        <v>362</v>
      </c>
      <c r="E321" s="8">
        <v>143.0735</v>
      </c>
      <c r="F321" s="8" t="s">
        <v>1</v>
      </c>
      <c r="G321" s="8" t="s">
        <v>1</v>
      </c>
      <c r="H321" s="8">
        <v>3</v>
      </c>
      <c r="I321" s="7" t="s">
        <v>361</v>
      </c>
      <c r="K321" s="1"/>
      <c r="L321" s="1"/>
    </row>
    <row r="322" spans="1:12" customFormat="1" x14ac:dyDescent="0.2">
      <c r="A322" s="9" t="s">
        <v>1125</v>
      </c>
      <c r="B322" s="8" t="s">
        <v>360</v>
      </c>
      <c r="C322" s="8">
        <v>2272</v>
      </c>
      <c r="D322" s="69" t="s">
        <v>359</v>
      </c>
      <c r="E322" s="8">
        <v>182.084</v>
      </c>
      <c r="F322" s="8" t="s">
        <v>1</v>
      </c>
      <c r="G322" s="8" t="s">
        <v>1</v>
      </c>
      <c r="H322" s="8">
        <v>3</v>
      </c>
      <c r="I322" s="7" t="s">
        <v>358</v>
      </c>
      <c r="K322" s="1"/>
      <c r="L322" s="1"/>
    </row>
    <row r="323" spans="1:12" customFormat="1" x14ac:dyDescent="0.2">
      <c r="A323" s="12" t="s">
        <v>357</v>
      </c>
      <c r="B323" s="8" t="s">
        <v>17</v>
      </c>
      <c r="C323" s="8" t="s">
        <v>17</v>
      </c>
      <c r="D323" s="69" t="s">
        <v>17</v>
      </c>
      <c r="E323" s="10" t="s">
        <v>17</v>
      </c>
      <c r="F323" s="8" t="s">
        <v>17</v>
      </c>
      <c r="G323" s="8" t="s">
        <v>17</v>
      </c>
      <c r="H323" s="8" t="s">
        <v>17</v>
      </c>
      <c r="I323" s="7" t="s">
        <v>17</v>
      </c>
      <c r="K323" s="1"/>
      <c r="L323" s="1"/>
    </row>
    <row r="324" spans="1:12" customFormat="1" x14ac:dyDescent="0.2">
      <c r="A324" s="9" t="s">
        <v>2829</v>
      </c>
      <c r="B324" s="8" t="s">
        <v>356</v>
      </c>
      <c r="C324" s="8">
        <v>7452</v>
      </c>
      <c r="D324" s="69" t="s">
        <v>355</v>
      </c>
      <c r="E324" s="8">
        <v>168.0171</v>
      </c>
      <c r="F324" s="8" t="s">
        <v>1</v>
      </c>
      <c r="G324" s="8" t="s">
        <v>1</v>
      </c>
      <c r="H324" s="8" t="s">
        <v>1</v>
      </c>
      <c r="I324" s="7" t="s">
        <v>0</v>
      </c>
      <c r="K324" s="1"/>
      <c r="L324" s="1"/>
    </row>
    <row r="325" spans="1:12" customFormat="1" x14ac:dyDescent="0.2">
      <c r="A325" s="9" t="s">
        <v>3299</v>
      </c>
      <c r="B325" s="8" t="s">
        <v>354</v>
      </c>
      <c r="C325" s="8">
        <v>8461</v>
      </c>
      <c r="D325" s="69" t="s">
        <v>352</v>
      </c>
      <c r="E325" s="8">
        <v>182.03280000000001</v>
      </c>
      <c r="F325" s="8" t="s">
        <v>9</v>
      </c>
      <c r="G325" s="8" t="s">
        <v>1</v>
      </c>
      <c r="H325" s="8" t="s">
        <v>69</v>
      </c>
      <c r="I325" s="7" t="s">
        <v>0</v>
      </c>
      <c r="K325" s="1"/>
      <c r="L325" s="1"/>
    </row>
    <row r="326" spans="1:12" customFormat="1" x14ac:dyDescent="0.2">
      <c r="A326" s="9" t="s">
        <v>3344</v>
      </c>
      <c r="B326" s="8" t="s">
        <v>353</v>
      </c>
      <c r="C326" s="8">
        <v>11813</v>
      </c>
      <c r="D326" s="69" t="s">
        <v>352</v>
      </c>
      <c r="E326" s="8">
        <v>182.03280000000001</v>
      </c>
      <c r="F326" s="8" t="s">
        <v>1</v>
      </c>
      <c r="G326" s="8" t="s">
        <v>1</v>
      </c>
      <c r="H326" s="8" t="s">
        <v>69</v>
      </c>
      <c r="I326" s="7" t="s">
        <v>0</v>
      </c>
      <c r="K326" s="1"/>
      <c r="L326" s="1"/>
    </row>
    <row r="327" spans="1:12" customFormat="1" x14ac:dyDescent="0.2">
      <c r="A327" s="12" t="s">
        <v>351</v>
      </c>
      <c r="B327" s="8" t="s">
        <v>17</v>
      </c>
      <c r="C327" s="8" t="s">
        <v>17</v>
      </c>
      <c r="D327" s="69" t="s">
        <v>17</v>
      </c>
      <c r="E327" s="8" t="s">
        <v>17</v>
      </c>
      <c r="F327" s="8" t="s">
        <v>17</v>
      </c>
      <c r="G327" s="8" t="s">
        <v>17</v>
      </c>
      <c r="H327" s="8" t="s">
        <v>17</v>
      </c>
      <c r="I327" s="7" t="s">
        <v>17</v>
      </c>
      <c r="K327" s="1"/>
      <c r="L327" s="1"/>
    </row>
    <row r="328" spans="1:12" customFormat="1" x14ac:dyDescent="0.2">
      <c r="A328" s="11" t="s">
        <v>350</v>
      </c>
      <c r="B328" s="8" t="s">
        <v>17</v>
      </c>
      <c r="C328" s="8" t="s">
        <v>17</v>
      </c>
      <c r="D328" s="69" t="s">
        <v>17</v>
      </c>
      <c r="E328" s="8" t="s">
        <v>17</v>
      </c>
      <c r="F328" s="8" t="s">
        <v>17</v>
      </c>
      <c r="G328" s="8" t="s">
        <v>17</v>
      </c>
      <c r="H328" s="8" t="s">
        <v>17</v>
      </c>
      <c r="I328" s="7" t="s">
        <v>17</v>
      </c>
      <c r="K328" s="1"/>
      <c r="L328" s="1"/>
    </row>
    <row r="329" spans="1:12" customFormat="1" x14ac:dyDescent="0.2">
      <c r="A329" s="9" t="s">
        <v>3268</v>
      </c>
      <c r="B329" s="8" t="s">
        <v>349</v>
      </c>
      <c r="C329" s="8">
        <v>62753</v>
      </c>
      <c r="D329" s="69" t="s">
        <v>348</v>
      </c>
      <c r="E329" s="8">
        <v>935.49300000000005</v>
      </c>
      <c r="F329" s="8" t="s">
        <v>9</v>
      </c>
      <c r="G329" s="8" t="s">
        <v>9</v>
      </c>
      <c r="H329" s="8" t="s">
        <v>1</v>
      </c>
      <c r="I329" s="7" t="s">
        <v>0</v>
      </c>
      <c r="K329" s="1"/>
      <c r="L329" s="1"/>
    </row>
    <row r="330" spans="1:12" customFormat="1" x14ac:dyDescent="0.2">
      <c r="A330" s="9" t="s">
        <v>3175</v>
      </c>
      <c r="B330" s="8" t="s">
        <v>347</v>
      </c>
      <c r="C330" s="8">
        <v>13643667</v>
      </c>
      <c r="D330" s="69" t="s">
        <v>346</v>
      </c>
      <c r="E330" s="8">
        <v>445.71519999999998</v>
      </c>
      <c r="F330" s="8" t="s">
        <v>9</v>
      </c>
      <c r="G330" s="8" t="s">
        <v>1</v>
      </c>
      <c r="H330" s="8" t="s">
        <v>1</v>
      </c>
      <c r="I330" s="7" t="s">
        <v>138</v>
      </c>
      <c r="K330" s="1"/>
      <c r="L330" s="1"/>
    </row>
    <row r="331" spans="1:12" customFormat="1" x14ac:dyDescent="0.2">
      <c r="A331" s="9" t="s">
        <v>928</v>
      </c>
      <c r="B331" s="8" t="s">
        <v>345</v>
      </c>
      <c r="C331" s="8">
        <v>61972</v>
      </c>
      <c r="D331" s="69" t="s">
        <v>344</v>
      </c>
      <c r="E331" s="8">
        <v>619.82000000000005</v>
      </c>
      <c r="F331" s="8" t="s">
        <v>9</v>
      </c>
      <c r="G331" s="8" t="s">
        <v>1</v>
      </c>
      <c r="H331" s="8" t="s">
        <v>1</v>
      </c>
      <c r="I331" s="7" t="s">
        <v>0</v>
      </c>
      <c r="K331" s="1"/>
      <c r="L331" s="1"/>
    </row>
    <row r="332" spans="1:12" customFormat="1" x14ac:dyDescent="0.2">
      <c r="A332" s="9" t="s">
        <v>3322</v>
      </c>
      <c r="B332" s="8" t="s">
        <v>343</v>
      </c>
      <c r="C332" s="8">
        <v>170231</v>
      </c>
      <c r="D332" s="69" t="s">
        <v>342</v>
      </c>
      <c r="E332" s="8">
        <v>561.67200000000003</v>
      </c>
      <c r="F332" s="8" t="s">
        <v>9</v>
      </c>
      <c r="G332" s="8" t="s">
        <v>1</v>
      </c>
      <c r="H332" s="8" t="s">
        <v>1</v>
      </c>
      <c r="I332" s="7" t="s">
        <v>0</v>
      </c>
      <c r="K332" s="1"/>
      <c r="L332" s="1"/>
    </row>
    <row r="333" spans="1:12" customFormat="1" x14ac:dyDescent="0.2">
      <c r="A333" s="9" t="s">
        <v>1152</v>
      </c>
      <c r="B333" s="8" t="s">
        <v>341</v>
      </c>
      <c r="C333" s="8">
        <v>95170</v>
      </c>
      <c r="D333" s="69" t="s">
        <v>335</v>
      </c>
      <c r="E333" s="8">
        <v>481.71519999999998</v>
      </c>
      <c r="F333" s="8" t="s">
        <v>9</v>
      </c>
      <c r="G333" s="8" t="s">
        <v>1</v>
      </c>
      <c r="H333" s="8" t="s">
        <v>1</v>
      </c>
      <c r="I333" s="7" t="s">
        <v>0</v>
      </c>
      <c r="K333" s="1"/>
      <c r="L333" s="1"/>
    </row>
    <row r="334" spans="1:12" customFormat="1" x14ac:dyDescent="0.2">
      <c r="A334" s="9" t="s">
        <v>1712</v>
      </c>
      <c r="B334" s="8" t="s">
        <v>340</v>
      </c>
      <c r="C334" s="8">
        <v>154083</v>
      </c>
      <c r="D334" s="69" t="s">
        <v>339</v>
      </c>
      <c r="E334" s="8">
        <v>559.62599999999998</v>
      </c>
      <c r="F334" s="8" t="s">
        <v>1</v>
      </c>
      <c r="G334" s="8" t="s">
        <v>1</v>
      </c>
      <c r="H334" s="8" t="s">
        <v>1</v>
      </c>
      <c r="I334" s="7" t="s">
        <v>0</v>
      </c>
      <c r="K334" s="1"/>
      <c r="L334" s="1"/>
    </row>
    <row r="335" spans="1:12" customFormat="1" x14ac:dyDescent="0.2">
      <c r="A335" s="9" t="s">
        <v>3266</v>
      </c>
      <c r="B335" s="8" t="s">
        <v>338</v>
      </c>
      <c r="C335" s="8">
        <v>3015044</v>
      </c>
      <c r="D335" s="69" t="s">
        <v>337</v>
      </c>
      <c r="E335" s="8">
        <v>1009.4062</v>
      </c>
      <c r="F335" s="8" t="s">
        <v>1</v>
      </c>
      <c r="G335" s="8" t="s">
        <v>1</v>
      </c>
      <c r="H335" s="8" t="s">
        <v>1</v>
      </c>
      <c r="I335" s="7" t="s">
        <v>247</v>
      </c>
      <c r="K335" s="1"/>
      <c r="L335" s="1"/>
    </row>
    <row r="336" spans="1:12" customFormat="1" x14ac:dyDescent="0.2">
      <c r="A336" s="9" t="s">
        <v>1704</v>
      </c>
      <c r="B336" s="8" t="s">
        <v>336</v>
      </c>
      <c r="C336" s="8">
        <v>15509893</v>
      </c>
      <c r="D336" s="69" t="s">
        <v>335</v>
      </c>
      <c r="E336" s="8">
        <v>481.71519999999998</v>
      </c>
      <c r="F336" s="8" t="s">
        <v>1</v>
      </c>
      <c r="G336" s="8" t="s">
        <v>1</v>
      </c>
      <c r="H336" s="8" t="s">
        <v>1</v>
      </c>
      <c r="I336" s="7" t="s">
        <v>0</v>
      </c>
      <c r="K336" s="1"/>
      <c r="L336" s="1"/>
    </row>
    <row r="337" spans="1:12" customFormat="1" x14ac:dyDescent="0.2">
      <c r="A337" s="9" t="s">
        <v>3356</v>
      </c>
      <c r="B337" s="8" t="s">
        <v>334</v>
      </c>
      <c r="C337" s="8">
        <v>6618</v>
      </c>
      <c r="D337" s="69" t="s">
        <v>333</v>
      </c>
      <c r="E337" s="8">
        <v>539.75707999999997</v>
      </c>
      <c r="F337" s="8" t="s">
        <v>9</v>
      </c>
      <c r="G337" s="8" t="s">
        <v>1</v>
      </c>
      <c r="H337" s="8" t="s">
        <v>332</v>
      </c>
      <c r="I337" s="7" t="s">
        <v>0</v>
      </c>
      <c r="K337" s="1"/>
      <c r="L337" s="1"/>
    </row>
    <row r="338" spans="1:12" customFormat="1" x14ac:dyDescent="0.2">
      <c r="A338" s="11" t="s">
        <v>331</v>
      </c>
      <c r="B338" s="8" t="s">
        <v>17</v>
      </c>
      <c r="C338" s="8" t="s">
        <v>17</v>
      </c>
      <c r="D338" s="69" t="s">
        <v>17</v>
      </c>
      <c r="E338" s="10" t="s">
        <v>17</v>
      </c>
      <c r="F338" s="8" t="s">
        <v>17</v>
      </c>
      <c r="G338" s="8" t="s">
        <v>17</v>
      </c>
      <c r="H338" s="8" t="s">
        <v>17</v>
      </c>
      <c r="I338" s="7" t="s">
        <v>17</v>
      </c>
      <c r="K338" s="1"/>
      <c r="L338" s="1"/>
    </row>
    <row r="339" spans="1:12" customFormat="1" x14ac:dyDescent="0.2">
      <c r="A339" s="9" t="s">
        <v>3213</v>
      </c>
      <c r="B339" s="8" t="s">
        <v>330</v>
      </c>
      <c r="C339" s="8">
        <v>26176</v>
      </c>
      <c r="D339" s="69" t="s">
        <v>326</v>
      </c>
      <c r="E339" s="8">
        <v>326.00080000000003</v>
      </c>
      <c r="F339" s="8" t="s">
        <v>9</v>
      </c>
      <c r="G339" s="8" t="s">
        <v>1</v>
      </c>
      <c r="H339" s="8" t="s">
        <v>1</v>
      </c>
      <c r="I339" s="7" t="s">
        <v>247</v>
      </c>
      <c r="K339" s="1"/>
      <c r="L339" s="1"/>
    </row>
    <row r="340" spans="1:12" customFormat="1" x14ac:dyDescent="0.2">
      <c r="A340" s="9" t="s">
        <v>919</v>
      </c>
      <c r="B340" s="8" t="s">
        <v>329</v>
      </c>
      <c r="C340" s="8">
        <v>26177</v>
      </c>
      <c r="D340" s="69" t="s">
        <v>328</v>
      </c>
      <c r="E340" s="8">
        <v>427.88400000000001</v>
      </c>
      <c r="F340" s="8" t="s">
        <v>9</v>
      </c>
      <c r="G340" s="8" t="s">
        <v>1</v>
      </c>
      <c r="H340" s="8" t="s">
        <v>1</v>
      </c>
      <c r="I340" s="7" t="s">
        <v>247</v>
      </c>
      <c r="K340" s="1"/>
      <c r="L340" s="1"/>
    </row>
    <row r="341" spans="1:12" customFormat="1" x14ac:dyDescent="0.2">
      <c r="A341" s="9" t="s">
        <v>2444</v>
      </c>
      <c r="B341" s="8" t="s">
        <v>327</v>
      </c>
      <c r="C341" s="8">
        <v>14034</v>
      </c>
      <c r="D341" s="69" t="s">
        <v>326</v>
      </c>
      <c r="E341" s="8">
        <v>326.00080000000003</v>
      </c>
      <c r="F341" s="8" t="s">
        <v>1</v>
      </c>
      <c r="G341" s="8" t="s">
        <v>1</v>
      </c>
      <c r="H341" s="8" t="s">
        <v>1</v>
      </c>
      <c r="I341" s="7" t="s">
        <v>247</v>
      </c>
      <c r="K341" s="1"/>
      <c r="L341" s="1"/>
    </row>
    <row r="342" spans="1:12" customFormat="1" x14ac:dyDescent="0.2">
      <c r="A342" s="9" t="s">
        <v>3256</v>
      </c>
      <c r="B342" s="8" t="s">
        <v>325</v>
      </c>
      <c r="C342" s="8">
        <v>8295</v>
      </c>
      <c r="D342" s="69" t="s">
        <v>324</v>
      </c>
      <c r="E342" s="8">
        <v>283.95389999999998</v>
      </c>
      <c r="F342" s="8" t="s">
        <v>9</v>
      </c>
      <c r="G342" s="8" t="s">
        <v>1</v>
      </c>
      <c r="H342" s="8">
        <v>3</v>
      </c>
      <c r="I342" s="7" t="s">
        <v>247</v>
      </c>
      <c r="K342" s="1"/>
      <c r="L342" s="1"/>
    </row>
    <row r="343" spans="1:12" customFormat="1" x14ac:dyDescent="0.2">
      <c r="A343" s="11" t="s">
        <v>323</v>
      </c>
      <c r="B343" s="8" t="s">
        <v>17</v>
      </c>
      <c r="C343" s="8" t="s">
        <v>17</v>
      </c>
      <c r="D343" s="69" t="s">
        <v>17</v>
      </c>
      <c r="E343" s="10" t="s">
        <v>17</v>
      </c>
      <c r="F343" s="8" t="s">
        <v>17</v>
      </c>
      <c r="G343" s="8" t="s">
        <v>17</v>
      </c>
      <c r="H343" s="8" t="s">
        <v>17</v>
      </c>
      <c r="I343" s="7" t="s">
        <v>17</v>
      </c>
      <c r="K343" s="1"/>
      <c r="L343" s="1"/>
    </row>
    <row r="344" spans="1:12" customFormat="1" x14ac:dyDescent="0.2">
      <c r="A344" s="9" t="s">
        <v>3339</v>
      </c>
      <c r="B344" s="8" t="s">
        <v>322</v>
      </c>
      <c r="C344" s="8">
        <v>11232</v>
      </c>
      <c r="D344" s="69" t="s">
        <v>320</v>
      </c>
      <c r="E344" s="8">
        <v>368.11799999999999</v>
      </c>
      <c r="F344" s="8" t="s">
        <v>9</v>
      </c>
      <c r="G344" s="8" t="s">
        <v>1</v>
      </c>
      <c r="H344" s="8" t="s">
        <v>1</v>
      </c>
      <c r="I344" s="7" t="s">
        <v>247</v>
      </c>
      <c r="K344" s="1"/>
      <c r="L344" s="1"/>
    </row>
    <row r="345" spans="1:12" customFormat="1" x14ac:dyDescent="0.2">
      <c r="A345" s="9" t="s">
        <v>3280</v>
      </c>
      <c r="B345" s="8" t="s">
        <v>321</v>
      </c>
      <c r="C345" s="8">
        <v>6529</v>
      </c>
      <c r="D345" s="69" t="s">
        <v>320</v>
      </c>
      <c r="E345" s="8">
        <v>368.11770000000001</v>
      </c>
      <c r="F345" s="8" t="s">
        <v>9</v>
      </c>
      <c r="G345" s="8" t="s">
        <v>1</v>
      </c>
      <c r="H345" s="8" t="s">
        <v>1</v>
      </c>
      <c r="I345" s="7" t="s">
        <v>247</v>
      </c>
      <c r="K345" s="1"/>
      <c r="L345" s="1"/>
    </row>
    <row r="346" spans="1:12" customFormat="1" x14ac:dyDescent="0.2">
      <c r="A346" s="9" t="s">
        <v>3349</v>
      </c>
      <c r="B346" s="8" t="s">
        <v>319</v>
      </c>
      <c r="C346" s="8">
        <v>155309</v>
      </c>
      <c r="D346" s="69" t="s">
        <v>318</v>
      </c>
      <c r="E346" s="8">
        <v>340.08640000000003</v>
      </c>
      <c r="F346" s="8" t="s">
        <v>1</v>
      </c>
      <c r="G346" s="8" t="s">
        <v>1</v>
      </c>
      <c r="H346" s="8" t="s">
        <v>1</v>
      </c>
      <c r="I346" s="7" t="s">
        <v>247</v>
      </c>
      <c r="K346" s="1"/>
      <c r="L346" s="1"/>
    </row>
    <row r="347" spans="1:12" customFormat="1" x14ac:dyDescent="0.2">
      <c r="A347" s="9" t="s">
        <v>3327</v>
      </c>
      <c r="B347" s="8" t="s">
        <v>317</v>
      </c>
      <c r="C347" s="8">
        <v>10546</v>
      </c>
      <c r="D347" s="69" t="s">
        <v>316</v>
      </c>
      <c r="E347" s="8">
        <v>224.11770000000001</v>
      </c>
      <c r="F347" s="8" t="s">
        <v>1</v>
      </c>
      <c r="G347" s="8" t="s">
        <v>1</v>
      </c>
      <c r="H347" s="8" t="s">
        <v>1</v>
      </c>
      <c r="I347" s="7" t="s">
        <v>247</v>
      </c>
      <c r="K347" s="1"/>
      <c r="L347" s="1"/>
    </row>
    <row r="348" spans="1:12" customFormat="1" x14ac:dyDescent="0.2">
      <c r="A348" s="12" t="s">
        <v>315</v>
      </c>
      <c r="B348" s="8" t="s">
        <v>17</v>
      </c>
      <c r="C348" s="8" t="s">
        <v>17</v>
      </c>
      <c r="D348" s="69" t="s">
        <v>17</v>
      </c>
      <c r="E348" s="10" t="s">
        <v>17</v>
      </c>
      <c r="F348" s="8" t="s">
        <v>17</v>
      </c>
      <c r="G348" s="8" t="s">
        <v>17</v>
      </c>
      <c r="H348" s="8" t="s">
        <v>17</v>
      </c>
      <c r="I348" s="7" t="s">
        <v>17</v>
      </c>
      <c r="K348" s="1"/>
      <c r="L348" s="1"/>
    </row>
    <row r="349" spans="1:12" customFormat="1" x14ac:dyDescent="0.2">
      <c r="A349" s="9" t="s">
        <v>3022</v>
      </c>
      <c r="B349" s="8" t="s">
        <v>314</v>
      </c>
      <c r="C349" s="8">
        <v>11008</v>
      </c>
      <c r="D349" s="69" t="s">
        <v>313</v>
      </c>
      <c r="E349" s="8">
        <v>450.51650000000001</v>
      </c>
      <c r="F349" s="8" t="s">
        <v>1</v>
      </c>
      <c r="G349" s="8" t="s">
        <v>1</v>
      </c>
      <c r="H349" s="8" t="s">
        <v>1</v>
      </c>
      <c r="I349" s="7" t="s">
        <v>179</v>
      </c>
      <c r="K349" s="1"/>
      <c r="L349" s="1"/>
    </row>
    <row r="350" spans="1:12" customFormat="1" x14ac:dyDescent="0.2">
      <c r="A350" s="9" t="s">
        <v>3020</v>
      </c>
      <c r="B350" s="8" t="s">
        <v>312</v>
      </c>
      <c r="C350" s="8">
        <v>12535</v>
      </c>
      <c r="D350" s="69" t="s">
        <v>311</v>
      </c>
      <c r="E350" s="8">
        <v>422.48520000000002</v>
      </c>
      <c r="F350" s="8" t="s">
        <v>1</v>
      </c>
      <c r="G350" s="8" t="s">
        <v>1</v>
      </c>
      <c r="H350" s="8" t="s">
        <v>1</v>
      </c>
      <c r="I350" s="7" t="s">
        <v>179</v>
      </c>
      <c r="K350" s="1"/>
      <c r="L350" s="1"/>
    </row>
    <row r="351" spans="1:12" customFormat="1" x14ac:dyDescent="0.2">
      <c r="A351" s="9" t="s">
        <v>3003</v>
      </c>
      <c r="B351" s="8" t="s">
        <v>310</v>
      </c>
      <c r="C351" s="8">
        <v>12398</v>
      </c>
      <c r="D351" s="69" t="s">
        <v>309</v>
      </c>
      <c r="E351" s="8">
        <v>240.2817</v>
      </c>
      <c r="F351" s="8" t="s">
        <v>1</v>
      </c>
      <c r="G351" s="8" t="s">
        <v>1</v>
      </c>
      <c r="H351" s="8" t="s">
        <v>1</v>
      </c>
      <c r="I351" s="7" t="s">
        <v>179</v>
      </c>
      <c r="K351" s="1"/>
      <c r="L351" s="1"/>
    </row>
    <row r="352" spans="1:12" customFormat="1" x14ac:dyDescent="0.2">
      <c r="A352" s="9" t="s">
        <v>3014</v>
      </c>
      <c r="B352" s="8" t="s">
        <v>308</v>
      </c>
      <c r="C352" s="8">
        <v>12592</v>
      </c>
      <c r="D352" s="69" t="s">
        <v>307</v>
      </c>
      <c r="E352" s="8">
        <v>338.3913</v>
      </c>
      <c r="F352" s="8" t="s">
        <v>1</v>
      </c>
      <c r="G352" s="8" t="s">
        <v>1</v>
      </c>
      <c r="H352" s="8" t="s">
        <v>1</v>
      </c>
      <c r="I352" s="7" t="s">
        <v>179</v>
      </c>
      <c r="K352" s="1"/>
      <c r="L352" s="1"/>
    </row>
    <row r="353" spans="1:12" customFormat="1" x14ac:dyDescent="0.2">
      <c r="A353" s="9" t="s">
        <v>3016</v>
      </c>
      <c r="B353" s="8" t="s">
        <v>306</v>
      </c>
      <c r="C353" s="8">
        <v>12407</v>
      </c>
      <c r="D353" s="69" t="s">
        <v>305</v>
      </c>
      <c r="E353" s="8">
        <v>366.42259999999999</v>
      </c>
      <c r="F353" s="8" t="s">
        <v>1</v>
      </c>
      <c r="G353" s="8" t="s">
        <v>1</v>
      </c>
      <c r="H353" s="8" t="s">
        <v>1</v>
      </c>
      <c r="I353" s="7" t="s">
        <v>179</v>
      </c>
      <c r="K353" s="1"/>
      <c r="L353" s="1"/>
    </row>
    <row r="354" spans="1:12" customFormat="1" x14ac:dyDescent="0.2">
      <c r="A354" s="9" t="s">
        <v>3018</v>
      </c>
      <c r="B354" s="8" t="s">
        <v>304</v>
      </c>
      <c r="C354" s="8">
        <v>12408</v>
      </c>
      <c r="D354" s="69" t="s">
        <v>303</v>
      </c>
      <c r="E354" s="8">
        <v>394.4538</v>
      </c>
      <c r="F354" s="8" t="s">
        <v>1</v>
      </c>
      <c r="G354" s="8" t="s">
        <v>1</v>
      </c>
      <c r="H354" s="8" t="s">
        <v>1</v>
      </c>
      <c r="I354" s="7" t="s">
        <v>179</v>
      </c>
      <c r="K354" s="1"/>
      <c r="L354" s="1"/>
    </row>
    <row r="355" spans="1:12" customFormat="1" x14ac:dyDescent="0.2">
      <c r="A355" s="9" t="s">
        <v>3010</v>
      </c>
      <c r="B355" s="8" t="s">
        <v>302</v>
      </c>
      <c r="C355" s="8">
        <v>8222</v>
      </c>
      <c r="D355" s="69" t="s">
        <v>301</v>
      </c>
      <c r="E355" s="8">
        <v>282.32870000000003</v>
      </c>
      <c r="F355" s="8" t="s">
        <v>1</v>
      </c>
      <c r="G355" s="8" t="s">
        <v>1</v>
      </c>
      <c r="H355" s="8" t="s">
        <v>1</v>
      </c>
      <c r="I355" s="7" t="s">
        <v>179</v>
      </c>
      <c r="K355" s="1"/>
      <c r="L355" s="1"/>
    </row>
    <row r="356" spans="1:12" customFormat="1" x14ac:dyDescent="0.2">
      <c r="A356" s="9" t="s">
        <v>3012</v>
      </c>
      <c r="B356" s="8" t="s">
        <v>300</v>
      </c>
      <c r="C356" s="8">
        <v>12405</v>
      </c>
      <c r="D356" s="69" t="s">
        <v>299</v>
      </c>
      <c r="E356" s="8">
        <v>310.36</v>
      </c>
      <c r="F356" s="8" t="s">
        <v>1</v>
      </c>
      <c r="G356" s="8" t="s">
        <v>1</v>
      </c>
      <c r="H356" s="8" t="s">
        <v>1</v>
      </c>
      <c r="I356" s="7" t="s">
        <v>179</v>
      </c>
      <c r="K356" s="1"/>
      <c r="L356" s="1"/>
    </row>
    <row r="357" spans="1:12" customFormat="1" x14ac:dyDescent="0.2">
      <c r="A357" s="12" t="s">
        <v>298</v>
      </c>
      <c r="B357" s="8" t="s">
        <v>17</v>
      </c>
      <c r="C357" s="8" t="s">
        <v>17</v>
      </c>
      <c r="D357" s="69" t="s">
        <v>17</v>
      </c>
      <c r="E357" s="10" t="s">
        <v>17</v>
      </c>
      <c r="F357" s="8" t="s">
        <v>17</v>
      </c>
      <c r="G357" s="8" t="s">
        <v>17</v>
      </c>
      <c r="H357" s="8" t="s">
        <v>17</v>
      </c>
      <c r="I357" s="7" t="s">
        <v>17</v>
      </c>
      <c r="K357" s="1"/>
      <c r="L357" s="1"/>
    </row>
    <row r="358" spans="1:12" customFormat="1" x14ac:dyDescent="0.2">
      <c r="A358" s="9" t="s">
        <v>1521</v>
      </c>
      <c r="B358" s="8" t="s">
        <v>297</v>
      </c>
      <c r="C358" s="8">
        <v>36188</v>
      </c>
      <c r="D358" s="69" t="s">
        <v>289</v>
      </c>
      <c r="E358" s="8">
        <v>323.88339999999999</v>
      </c>
      <c r="F358" s="8" t="s">
        <v>9</v>
      </c>
      <c r="G358" s="8" t="s">
        <v>1</v>
      </c>
      <c r="H358" s="8">
        <v>1</v>
      </c>
      <c r="I358" s="7" t="s">
        <v>0</v>
      </c>
      <c r="K358" s="1"/>
      <c r="L358" s="1"/>
    </row>
    <row r="359" spans="1:12" customFormat="1" x14ac:dyDescent="0.2">
      <c r="A359" s="9" t="s">
        <v>1525</v>
      </c>
      <c r="B359" s="8" t="s">
        <v>296</v>
      </c>
      <c r="C359" s="8">
        <v>37035</v>
      </c>
      <c r="D359" s="69" t="s">
        <v>282</v>
      </c>
      <c r="E359" s="8">
        <v>357.84440000000001</v>
      </c>
      <c r="F359" s="8" t="s">
        <v>9</v>
      </c>
      <c r="G359" s="8" t="s">
        <v>1</v>
      </c>
      <c r="H359" s="8">
        <v>1</v>
      </c>
      <c r="I359" s="7" t="s">
        <v>0</v>
      </c>
      <c r="K359" s="1"/>
      <c r="L359" s="1"/>
    </row>
    <row r="360" spans="1:12" customFormat="1" x14ac:dyDescent="0.2">
      <c r="A360" s="9" t="s">
        <v>1532</v>
      </c>
      <c r="B360" s="8" t="s">
        <v>295</v>
      </c>
      <c r="C360" s="8">
        <v>40481</v>
      </c>
      <c r="D360" s="69" t="s">
        <v>291</v>
      </c>
      <c r="E360" s="8">
        <v>391.80549999999999</v>
      </c>
      <c r="F360" s="8" t="s">
        <v>9</v>
      </c>
      <c r="G360" s="8" t="s">
        <v>1</v>
      </c>
      <c r="H360" s="8">
        <v>1</v>
      </c>
      <c r="I360" s="7" t="s">
        <v>0</v>
      </c>
      <c r="K360" s="1"/>
      <c r="L360" s="1"/>
    </row>
    <row r="361" spans="1:12" customFormat="1" x14ac:dyDescent="0.2">
      <c r="A361" s="9" t="s">
        <v>1535</v>
      </c>
      <c r="B361" s="8" t="s">
        <v>294</v>
      </c>
      <c r="C361" s="8">
        <v>37036</v>
      </c>
      <c r="D361" s="69" t="s">
        <v>291</v>
      </c>
      <c r="E361" s="8">
        <v>391.80549999999999</v>
      </c>
      <c r="F361" s="8" t="s">
        <v>9</v>
      </c>
      <c r="G361" s="8" t="s">
        <v>1</v>
      </c>
      <c r="H361" s="8">
        <v>1</v>
      </c>
      <c r="I361" s="7" t="s">
        <v>0</v>
      </c>
      <c r="K361" s="1"/>
      <c r="L361" s="1"/>
    </row>
    <row r="362" spans="1:12" customFormat="1" x14ac:dyDescent="0.2">
      <c r="A362" s="9" t="s">
        <v>1539</v>
      </c>
      <c r="B362" s="8" t="s">
        <v>293</v>
      </c>
      <c r="C362" s="8">
        <v>40475</v>
      </c>
      <c r="D362" s="69" t="s">
        <v>291</v>
      </c>
      <c r="E362" s="8">
        <v>391.80549999999999</v>
      </c>
      <c r="F362" s="8" t="s">
        <v>9</v>
      </c>
      <c r="G362" s="8" t="s">
        <v>1</v>
      </c>
      <c r="H362" s="8">
        <v>1</v>
      </c>
      <c r="I362" s="7" t="s">
        <v>0</v>
      </c>
      <c r="K362" s="1"/>
      <c r="L362" s="1"/>
    </row>
    <row r="363" spans="1:12" customFormat="1" x14ac:dyDescent="0.2">
      <c r="A363" s="9" t="s">
        <v>1543</v>
      </c>
      <c r="B363" s="8" t="s">
        <v>292</v>
      </c>
      <c r="C363" s="8">
        <v>53039</v>
      </c>
      <c r="D363" s="69" t="s">
        <v>291</v>
      </c>
      <c r="E363" s="8">
        <v>391.80549999999999</v>
      </c>
      <c r="F363" s="8" t="s">
        <v>9</v>
      </c>
      <c r="G363" s="8" t="s">
        <v>1</v>
      </c>
      <c r="H363" s="8">
        <v>1</v>
      </c>
      <c r="I363" s="7" t="s">
        <v>0</v>
      </c>
      <c r="K363" s="1"/>
      <c r="L363" s="1"/>
    </row>
    <row r="364" spans="1:12" customFormat="1" x14ac:dyDescent="0.2">
      <c r="A364" s="9" t="s">
        <v>1638</v>
      </c>
      <c r="B364" s="8" t="s">
        <v>290</v>
      </c>
      <c r="C364" s="8">
        <v>35823</v>
      </c>
      <c r="D364" s="69" t="s">
        <v>289</v>
      </c>
      <c r="E364" s="8">
        <v>323.88339999999999</v>
      </c>
      <c r="F364" s="8" t="s">
        <v>9</v>
      </c>
      <c r="G364" s="8" t="s">
        <v>1</v>
      </c>
      <c r="H364" s="8">
        <v>1</v>
      </c>
      <c r="I364" s="7" t="s">
        <v>0</v>
      </c>
      <c r="K364" s="1"/>
      <c r="L364" s="1"/>
    </row>
    <row r="365" spans="1:12" customFormat="1" x14ac:dyDescent="0.2">
      <c r="A365" s="9" t="s">
        <v>1558</v>
      </c>
      <c r="B365" s="8" t="s">
        <v>288</v>
      </c>
      <c r="C365" s="8">
        <v>40172</v>
      </c>
      <c r="D365" s="69" t="s">
        <v>282</v>
      </c>
      <c r="E365" s="8">
        <v>357.84440000000001</v>
      </c>
      <c r="F365" s="8" t="s">
        <v>9</v>
      </c>
      <c r="G365" s="8" t="s">
        <v>1</v>
      </c>
      <c r="H365" s="8">
        <v>1</v>
      </c>
      <c r="I365" s="7" t="s">
        <v>0</v>
      </c>
      <c r="K365" s="1"/>
      <c r="L365" s="1"/>
    </row>
    <row r="366" spans="1:12" customFormat="1" x14ac:dyDescent="0.2">
      <c r="A366" s="9" t="s">
        <v>1556</v>
      </c>
      <c r="B366" s="8" t="s">
        <v>287</v>
      </c>
      <c r="C366" s="8">
        <v>36185</v>
      </c>
      <c r="D366" s="69" t="s">
        <v>280</v>
      </c>
      <c r="E366" s="8">
        <v>289.92239999999998</v>
      </c>
      <c r="F366" s="8" t="s">
        <v>9</v>
      </c>
      <c r="G366" s="8" t="s">
        <v>1</v>
      </c>
      <c r="H366" s="8">
        <v>1</v>
      </c>
      <c r="I366" s="7" t="s">
        <v>0</v>
      </c>
      <c r="K366" s="1"/>
      <c r="L366" s="1"/>
    </row>
    <row r="367" spans="1:12" customFormat="1" x14ac:dyDescent="0.2">
      <c r="A367" s="9" t="s">
        <v>1595</v>
      </c>
      <c r="B367" s="8" t="s">
        <v>286</v>
      </c>
      <c r="C367" s="8">
        <v>37803</v>
      </c>
      <c r="D367" s="69" t="s">
        <v>285</v>
      </c>
      <c r="E367" s="8">
        <v>255.96129999999999</v>
      </c>
      <c r="F367" s="8" t="s">
        <v>9</v>
      </c>
      <c r="G367" s="8" t="s">
        <v>1</v>
      </c>
      <c r="H367" s="8">
        <v>1</v>
      </c>
      <c r="I367" s="7" t="s">
        <v>0</v>
      </c>
      <c r="K367" s="1"/>
      <c r="L367" s="1"/>
    </row>
    <row r="368" spans="1:12" customFormat="1" x14ac:dyDescent="0.2">
      <c r="A368" s="9" t="s">
        <v>1342</v>
      </c>
      <c r="B368" s="8" t="s">
        <v>284</v>
      </c>
      <c r="C368" s="8">
        <v>38017</v>
      </c>
      <c r="D368" s="69" t="s">
        <v>282</v>
      </c>
      <c r="E368" s="8">
        <v>357.84440000000001</v>
      </c>
      <c r="F368" s="8" t="s">
        <v>9</v>
      </c>
      <c r="G368" s="8" t="s">
        <v>1</v>
      </c>
      <c r="H368" s="8">
        <v>1</v>
      </c>
      <c r="I368" s="7" t="s">
        <v>0</v>
      </c>
      <c r="K368" s="1"/>
      <c r="L368" s="1"/>
    </row>
    <row r="369" spans="1:12" customFormat="1" x14ac:dyDescent="0.2">
      <c r="A369" s="9" t="s">
        <v>1345</v>
      </c>
      <c r="B369" s="8" t="s">
        <v>283</v>
      </c>
      <c r="C369" s="8">
        <v>37034</v>
      </c>
      <c r="D369" s="69" t="s">
        <v>282</v>
      </c>
      <c r="E369" s="8">
        <v>357.84440000000001</v>
      </c>
      <c r="F369" s="8" t="s">
        <v>9</v>
      </c>
      <c r="G369" s="8" t="s">
        <v>1</v>
      </c>
      <c r="H369" s="8">
        <v>1</v>
      </c>
      <c r="I369" s="7" t="s">
        <v>0</v>
      </c>
      <c r="K369" s="1"/>
      <c r="L369" s="1"/>
    </row>
    <row r="370" spans="1:12" customFormat="1" x14ac:dyDescent="0.2">
      <c r="A370" s="9" t="s">
        <v>1545</v>
      </c>
      <c r="B370" s="8" t="s">
        <v>281</v>
      </c>
      <c r="C370" s="8">
        <v>36186</v>
      </c>
      <c r="D370" s="69" t="s">
        <v>280</v>
      </c>
      <c r="E370" s="8">
        <v>289.92239999999998</v>
      </c>
      <c r="F370" s="8" t="s">
        <v>1</v>
      </c>
      <c r="G370" s="8" t="s">
        <v>1</v>
      </c>
      <c r="H370" s="8">
        <v>1</v>
      </c>
      <c r="I370" s="7" t="s">
        <v>0</v>
      </c>
      <c r="K370" s="1"/>
      <c r="L370" s="1"/>
    </row>
    <row r="371" spans="1:12" customFormat="1" x14ac:dyDescent="0.2">
      <c r="A371" s="12" t="s">
        <v>279</v>
      </c>
      <c r="B371" s="8" t="s">
        <v>17</v>
      </c>
      <c r="C371" s="8" t="s">
        <v>17</v>
      </c>
      <c r="D371" s="69" t="s">
        <v>17</v>
      </c>
      <c r="E371" s="10" t="s">
        <v>17</v>
      </c>
      <c r="F371" s="8" t="s">
        <v>17</v>
      </c>
      <c r="G371" s="8" t="s">
        <v>17</v>
      </c>
      <c r="H371" s="10" t="s">
        <v>17</v>
      </c>
      <c r="I371" s="7" t="s">
        <v>17</v>
      </c>
      <c r="K371" s="1"/>
      <c r="L371" s="1"/>
    </row>
    <row r="372" spans="1:12" customFormat="1" x14ac:dyDescent="0.2">
      <c r="A372" s="9" t="s">
        <v>3314</v>
      </c>
      <c r="B372" s="8" t="s">
        <v>278</v>
      </c>
      <c r="C372" s="8">
        <v>67545</v>
      </c>
      <c r="D372" s="69" t="s">
        <v>277</v>
      </c>
      <c r="E372" s="8">
        <v>613.96090000000004</v>
      </c>
      <c r="F372" s="8" t="s">
        <v>9</v>
      </c>
      <c r="G372" s="8" t="s">
        <v>1</v>
      </c>
      <c r="H372" s="8" t="s">
        <v>1</v>
      </c>
      <c r="I372" s="7" t="s">
        <v>265</v>
      </c>
      <c r="K372" s="1"/>
      <c r="L372" s="1"/>
    </row>
    <row r="373" spans="1:12" customFormat="1" x14ac:dyDescent="0.2">
      <c r="A373" s="9" t="s">
        <v>3320</v>
      </c>
      <c r="B373" s="8" t="s">
        <v>276</v>
      </c>
      <c r="C373" s="8">
        <v>67821</v>
      </c>
      <c r="D373" s="69" t="s">
        <v>275</v>
      </c>
      <c r="E373" s="8">
        <v>463.97050000000002</v>
      </c>
      <c r="F373" s="8" t="s">
        <v>9</v>
      </c>
      <c r="G373" s="8" t="s">
        <v>1</v>
      </c>
      <c r="H373" s="8" t="s">
        <v>1</v>
      </c>
      <c r="I373" s="7" t="s">
        <v>265</v>
      </c>
      <c r="K373" s="1"/>
      <c r="L373" s="1"/>
    </row>
    <row r="374" spans="1:12" customFormat="1" x14ac:dyDescent="0.2">
      <c r="A374" s="9" t="s">
        <v>953</v>
      </c>
      <c r="B374" s="8" t="s">
        <v>274</v>
      </c>
      <c r="C374" s="8">
        <v>22286931</v>
      </c>
      <c r="D374" s="69" t="s">
        <v>273</v>
      </c>
      <c r="E374" s="8">
        <v>570.97460000000001</v>
      </c>
      <c r="F374" s="8" t="s">
        <v>1</v>
      </c>
      <c r="G374" s="8" t="s">
        <v>9</v>
      </c>
      <c r="H374" s="8" t="s">
        <v>1</v>
      </c>
      <c r="I374" s="7" t="s">
        <v>265</v>
      </c>
      <c r="K374" s="1"/>
      <c r="L374" s="1"/>
    </row>
    <row r="375" spans="1:12" customFormat="1" x14ac:dyDescent="0.2">
      <c r="A375" s="9" t="s">
        <v>1003</v>
      </c>
      <c r="B375" s="8" t="s">
        <v>272</v>
      </c>
      <c r="C375" s="8">
        <v>22568738</v>
      </c>
      <c r="D375" s="69" t="s">
        <v>271</v>
      </c>
      <c r="E375" s="8">
        <v>531.90290000000005</v>
      </c>
      <c r="F375" s="8" t="s">
        <v>1</v>
      </c>
      <c r="G375" s="8" t="s">
        <v>1</v>
      </c>
      <c r="H375" s="8" t="s">
        <v>1</v>
      </c>
      <c r="I375" s="7" t="s">
        <v>270</v>
      </c>
      <c r="K375" s="1"/>
      <c r="L375" s="1"/>
    </row>
    <row r="376" spans="1:12" customFormat="1" x14ac:dyDescent="0.2">
      <c r="A376" s="9" t="s">
        <v>3273</v>
      </c>
      <c r="B376" s="8" t="s">
        <v>269</v>
      </c>
      <c r="C376" s="8">
        <v>67822</v>
      </c>
      <c r="D376" s="69" t="s">
        <v>268</v>
      </c>
      <c r="E376" s="8">
        <v>713.95450000000005</v>
      </c>
      <c r="F376" s="8" t="s">
        <v>1</v>
      </c>
      <c r="G376" s="8" t="s">
        <v>1</v>
      </c>
      <c r="H376" s="8" t="s">
        <v>1</v>
      </c>
      <c r="I376" s="7" t="s">
        <v>6</v>
      </c>
      <c r="K376" s="1"/>
      <c r="L376" s="1"/>
    </row>
    <row r="377" spans="1:12" customFormat="1" x14ac:dyDescent="0.2">
      <c r="A377" s="9" t="s">
        <v>3271</v>
      </c>
      <c r="B377" s="8" t="s">
        <v>267</v>
      </c>
      <c r="C377" s="8">
        <v>67542</v>
      </c>
      <c r="D377" s="69" t="s">
        <v>266</v>
      </c>
      <c r="E377" s="8">
        <v>313.98007999999999</v>
      </c>
      <c r="F377" s="8" t="s">
        <v>1</v>
      </c>
      <c r="G377" s="8" t="s">
        <v>1</v>
      </c>
      <c r="H377" s="8" t="s">
        <v>1</v>
      </c>
      <c r="I377" s="7" t="s">
        <v>265</v>
      </c>
      <c r="K377" s="1"/>
      <c r="L377" s="1"/>
    </row>
    <row r="378" spans="1:12" customFormat="1" x14ac:dyDescent="0.2">
      <c r="A378" s="12" t="s">
        <v>264</v>
      </c>
      <c r="B378" s="8" t="s">
        <v>17</v>
      </c>
      <c r="C378" s="8" t="s">
        <v>17</v>
      </c>
      <c r="D378" s="69" t="s">
        <v>17</v>
      </c>
      <c r="E378" s="10" t="s">
        <v>17</v>
      </c>
      <c r="F378" s="8" t="s">
        <v>17</v>
      </c>
      <c r="G378" s="8" t="s">
        <v>17</v>
      </c>
      <c r="H378" s="8" t="s">
        <v>17</v>
      </c>
      <c r="I378" s="7" t="s">
        <v>17</v>
      </c>
      <c r="K378" s="1"/>
      <c r="L378" s="1"/>
    </row>
    <row r="379" spans="1:12" customFormat="1" x14ac:dyDescent="0.2">
      <c r="A379" s="11" t="s">
        <v>263</v>
      </c>
      <c r="B379" s="8" t="s">
        <v>17</v>
      </c>
      <c r="C379" s="8" t="s">
        <v>17</v>
      </c>
      <c r="D379" s="69" t="s">
        <v>17</v>
      </c>
      <c r="E379" s="10" t="s">
        <v>17</v>
      </c>
      <c r="F379" s="8" t="s">
        <v>17</v>
      </c>
      <c r="G379" s="8" t="s">
        <v>17</v>
      </c>
      <c r="H379" s="8" t="s">
        <v>17</v>
      </c>
      <c r="I379" s="7" t="s">
        <v>17</v>
      </c>
      <c r="K379" s="1"/>
      <c r="L379" s="1"/>
    </row>
    <row r="380" spans="1:12" customFormat="1" x14ac:dyDescent="0.2">
      <c r="A380" s="9" t="s">
        <v>1385</v>
      </c>
      <c r="B380" s="8" t="s">
        <v>262</v>
      </c>
      <c r="C380" s="8">
        <v>3026</v>
      </c>
      <c r="D380" s="69" t="s">
        <v>230</v>
      </c>
      <c r="E380" s="8">
        <v>278.15179999999998</v>
      </c>
      <c r="F380" s="8" t="s">
        <v>9</v>
      </c>
      <c r="G380" s="8" t="s">
        <v>9</v>
      </c>
      <c r="H380" s="8" t="s">
        <v>1</v>
      </c>
      <c r="I380" s="7" t="s">
        <v>0</v>
      </c>
      <c r="K380" s="1"/>
      <c r="L380" s="1"/>
    </row>
    <row r="381" spans="1:12" customFormat="1" x14ac:dyDescent="0.2">
      <c r="A381" s="9" t="s">
        <v>3257</v>
      </c>
      <c r="B381" s="8" t="s">
        <v>261</v>
      </c>
      <c r="C381" s="8">
        <v>8346</v>
      </c>
      <c r="D381" s="69" t="s">
        <v>245</v>
      </c>
      <c r="E381" s="8">
        <v>390.27699999999999</v>
      </c>
      <c r="F381" s="8" t="s">
        <v>9</v>
      </c>
      <c r="G381" s="8" t="s">
        <v>9</v>
      </c>
      <c r="H381" s="8" t="s">
        <v>1</v>
      </c>
      <c r="I381" s="7" t="s">
        <v>0</v>
      </c>
      <c r="K381" s="1"/>
      <c r="L381" s="1"/>
    </row>
    <row r="382" spans="1:12" customFormat="1" x14ac:dyDescent="0.2">
      <c r="A382" s="9" t="s">
        <v>3302</v>
      </c>
      <c r="B382" s="8" t="s">
        <v>260</v>
      </c>
      <c r="C382" s="8">
        <v>8554</v>
      </c>
      <c r="D382" s="69" t="s">
        <v>259</v>
      </c>
      <c r="E382" s="8">
        <v>194.05789999999999</v>
      </c>
      <c r="F382" s="8" t="s">
        <v>9</v>
      </c>
      <c r="G382" s="8" t="s">
        <v>1</v>
      </c>
      <c r="H382" s="8" t="s">
        <v>1</v>
      </c>
      <c r="I382" s="7" t="s">
        <v>0</v>
      </c>
      <c r="K382" s="1"/>
      <c r="L382" s="1"/>
    </row>
    <row r="383" spans="1:12" customFormat="1" x14ac:dyDescent="0.2">
      <c r="A383" s="9" t="s">
        <v>3301</v>
      </c>
      <c r="B383" s="8" t="s">
        <v>258</v>
      </c>
      <c r="C383" s="8">
        <v>31357</v>
      </c>
      <c r="D383" s="69" t="s">
        <v>257</v>
      </c>
      <c r="E383" s="8">
        <v>266.16469999999998</v>
      </c>
      <c r="F383" s="8" t="s">
        <v>9</v>
      </c>
      <c r="G383" s="8" t="s">
        <v>1</v>
      </c>
      <c r="H383" s="8" t="s">
        <v>1</v>
      </c>
      <c r="I383" s="7" t="s">
        <v>247</v>
      </c>
      <c r="K383" s="1"/>
      <c r="L383" s="1"/>
    </row>
    <row r="384" spans="1:12" customFormat="1" x14ac:dyDescent="0.2">
      <c r="A384" s="9" t="s">
        <v>3261</v>
      </c>
      <c r="B384" s="8" t="s">
        <v>256</v>
      </c>
      <c r="C384" s="8">
        <v>14716</v>
      </c>
      <c r="D384" s="69" t="s">
        <v>255</v>
      </c>
      <c r="E384" s="8">
        <v>362.16469999999998</v>
      </c>
      <c r="F384" s="8" t="s">
        <v>9</v>
      </c>
      <c r="G384" s="8" t="s">
        <v>1</v>
      </c>
      <c r="H384" s="8" t="s">
        <v>1</v>
      </c>
      <c r="I384" s="7" t="s">
        <v>247</v>
      </c>
      <c r="K384" s="1"/>
      <c r="L384" s="1"/>
    </row>
    <row r="385" spans="1:12" x14ac:dyDescent="0.2">
      <c r="A385" s="9" t="s">
        <v>3282</v>
      </c>
      <c r="B385" s="8" t="s">
        <v>254</v>
      </c>
      <c r="C385" s="8">
        <v>6540</v>
      </c>
      <c r="D385" s="69" t="s">
        <v>253</v>
      </c>
      <c r="E385" s="8">
        <v>398.24329999999998</v>
      </c>
      <c r="F385" s="8" t="s">
        <v>9</v>
      </c>
      <c r="G385" s="8" t="s">
        <v>1</v>
      </c>
      <c r="H385" s="8" t="s">
        <v>1</v>
      </c>
      <c r="I385" s="7" t="s">
        <v>247</v>
      </c>
    </row>
    <row r="386" spans="1:12" x14ac:dyDescent="0.2">
      <c r="A386" s="9" t="s">
        <v>3284</v>
      </c>
      <c r="B386" s="8" t="s">
        <v>252</v>
      </c>
      <c r="C386" s="8">
        <v>6781</v>
      </c>
      <c r="D386" s="69" t="s">
        <v>217</v>
      </c>
      <c r="E386" s="8">
        <v>222.089</v>
      </c>
      <c r="F386" s="8" t="s">
        <v>9</v>
      </c>
      <c r="G386" s="8" t="s">
        <v>1</v>
      </c>
      <c r="H386" s="8" t="s">
        <v>1</v>
      </c>
      <c r="I386" s="7" t="s">
        <v>0</v>
      </c>
    </row>
    <row r="387" spans="1:12" x14ac:dyDescent="0.2">
      <c r="A387" s="9" t="s">
        <v>3164</v>
      </c>
      <c r="B387" s="8" t="s">
        <v>251</v>
      </c>
      <c r="C387" s="8">
        <v>75665</v>
      </c>
      <c r="D387" s="69" t="s">
        <v>250</v>
      </c>
      <c r="E387" s="8">
        <v>308.21159999999998</v>
      </c>
      <c r="F387" s="8" t="s">
        <v>1</v>
      </c>
      <c r="G387" s="8" t="s">
        <v>1</v>
      </c>
      <c r="H387" s="8" t="s">
        <v>1</v>
      </c>
      <c r="I387" s="7" t="s">
        <v>247</v>
      </c>
    </row>
    <row r="388" spans="1:12" x14ac:dyDescent="0.2">
      <c r="A388" s="9" t="s">
        <v>3281</v>
      </c>
      <c r="B388" s="8" t="s">
        <v>249</v>
      </c>
      <c r="C388" s="8">
        <v>6537</v>
      </c>
      <c r="D388" s="69" t="s">
        <v>248</v>
      </c>
      <c r="E388" s="8">
        <v>434.35250000000002</v>
      </c>
      <c r="F388" s="8" t="s">
        <v>1</v>
      </c>
      <c r="G388" s="8" t="s">
        <v>1</v>
      </c>
      <c r="H388" s="8" t="s">
        <v>1</v>
      </c>
      <c r="I388" s="7" t="s">
        <v>247</v>
      </c>
    </row>
    <row r="389" spans="1:12" x14ac:dyDescent="0.2">
      <c r="A389" s="9" t="s">
        <v>3295</v>
      </c>
      <c r="B389" s="8" t="s">
        <v>246</v>
      </c>
      <c r="C389" s="8">
        <v>8343</v>
      </c>
      <c r="D389" s="69" t="s">
        <v>245</v>
      </c>
      <c r="E389" s="8">
        <v>390.27699999999999</v>
      </c>
      <c r="F389" s="8" t="s">
        <v>9</v>
      </c>
      <c r="G389" s="8" t="s">
        <v>1</v>
      </c>
      <c r="H389" s="8" t="s">
        <v>69</v>
      </c>
      <c r="I389" s="7" t="s">
        <v>0</v>
      </c>
    </row>
    <row r="390" spans="1:12" x14ac:dyDescent="0.2">
      <c r="A390" s="9" t="s">
        <v>3286</v>
      </c>
      <c r="B390" s="8" t="s">
        <v>244</v>
      </c>
      <c r="C390" s="8">
        <v>2347</v>
      </c>
      <c r="D390" s="69" t="s">
        <v>243</v>
      </c>
      <c r="E390" s="8">
        <v>312.13600000000002</v>
      </c>
      <c r="F390" s="8" t="s">
        <v>9</v>
      </c>
      <c r="G390" s="8" t="s">
        <v>1</v>
      </c>
      <c r="H390" s="8">
        <v>3</v>
      </c>
      <c r="I390" s="7" t="s">
        <v>0</v>
      </c>
    </row>
    <row r="391" spans="1:12" x14ac:dyDescent="0.2">
      <c r="A391" s="11" t="s">
        <v>242</v>
      </c>
      <c r="B391" s="8" t="s">
        <v>17</v>
      </c>
      <c r="C391" s="8" t="s">
        <v>17</v>
      </c>
      <c r="D391" s="69" t="s">
        <v>17</v>
      </c>
      <c r="E391" s="10" t="s">
        <v>17</v>
      </c>
      <c r="F391" s="8" t="s">
        <v>17</v>
      </c>
      <c r="G391" s="8" t="s">
        <v>17</v>
      </c>
      <c r="H391" s="8" t="s">
        <v>17</v>
      </c>
      <c r="I391" s="7" t="s">
        <v>17</v>
      </c>
    </row>
    <row r="392" spans="1:12" x14ac:dyDescent="0.2">
      <c r="A392" s="9" t="s">
        <v>3357</v>
      </c>
      <c r="B392" s="8" t="s">
        <v>241</v>
      </c>
      <c r="C392" s="8">
        <v>6623</v>
      </c>
      <c r="D392" s="69" t="s">
        <v>240</v>
      </c>
      <c r="E392" s="8">
        <v>228.11500000000001</v>
      </c>
      <c r="F392" s="8" t="s">
        <v>9</v>
      </c>
      <c r="G392" s="8" t="s">
        <v>9</v>
      </c>
      <c r="H392" s="8" t="s">
        <v>1</v>
      </c>
      <c r="I392" s="7" t="s">
        <v>0</v>
      </c>
    </row>
    <row r="393" spans="1:12" x14ac:dyDescent="0.2">
      <c r="A393" s="9" t="s">
        <v>3346</v>
      </c>
      <c r="B393" s="8" t="s">
        <v>239</v>
      </c>
      <c r="C393" s="8">
        <v>12111</v>
      </c>
      <c r="D393" s="69" t="s">
        <v>238</v>
      </c>
      <c r="E393" s="8">
        <v>200.08369999999999</v>
      </c>
      <c r="F393" s="8" t="s">
        <v>9</v>
      </c>
      <c r="G393" s="8" t="s">
        <v>1</v>
      </c>
      <c r="H393" s="8" t="s">
        <v>1</v>
      </c>
      <c r="I393" s="7" t="s">
        <v>0</v>
      </c>
    </row>
    <row r="394" spans="1:12" x14ac:dyDescent="0.2">
      <c r="A394" s="9" t="s">
        <v>3358</v>
      </c>
      <c r="B394" s="8" t="s">
        <v>237</v>
      </c>
      <c r="C394" s="8">
        <v>6626</v>
      </c>
      <c r="D394" s="69" t="s">
        <v>236</v>
      </c>
      <c r="E394" s="8">
        <v>250.03</v>
      </c>
      <c r="F394" s="8" t="s">
        <v>9</v>
      </c>
      <c r="G394" s="8" t="s">
        <v>1</v>
      </c>
      <c r="H394" s="8" t="s">
        <v>1</v>
      </c>
      <c r="I394" s="7" t="s">
        <v>0</v>
      </c>
    </row>
    <row r="395" spans="1:12" x14ac:dyDescent="0.2">
      <c r="A395" s="9" t="s">
        <v>2243</v>
      </c>
      <c r="B395" s="8" t="s">
        <v>235</v>
      </c>
      <c r="C395" s="8">
        <v>6838</v>
      </c>
      <c r="D395" s="69" t="s">
        <v>234</v>
      </c>
      <c r="E395" s="8">
        <v>198.07900000000001</v>
      </c>
      <c r="F395" s="8" t="s">
        <v>1</v>
      </c>
      <c r="G395" s="8" t="s">
        <v>1</v>
      </c>
      <c r="H395" s="8">
        <v>3</v>
      </c>
      <c r="I395" s="7" t="s">
        <v>0</v>
      </c>
    </row>
    <row r="396" spans="1:12" x14ac:dyDescent="0.2">
      <c r="A396" s="11" t="s">
        <v>233</v>
      </c>
      <c r="B396" s="8" t="s">
        <v>17</v>
      </c>
      <c r="C396" s="8" t="s">
        <v>17</v>
      </c>
      <c r="D396" s="69" t="s">
        <v>17</v>
      </c>
      <c r="E396" s="10" t="s">
        <v>17</v>
      </c>
      <c r="F396" s="8" t="s">
        <v>17</v>
      </c>
      <c r="G396" s="8" t="s">
        <v>17</v>
      </c>
      <c r="H396" s="8" t="s">
        <v>17</v>
      </c>
      <c r="I396" s="7" t="s">
        <v>17</v>
      </c>
    </row>
    <row r="397" spans="1:12" x14ac:dyDescent="0.2">
      <c r="A397" s="9" t="s">
        <v>3275</v>
      </c>
      <c r="B397" s="8" t="s">
        <v>232</v>
      </c>
      <c r="C397" s="8">
        <v>20393</v>
      </c>
      <c r="D397" s="69" t="s">
        <v>230</v>
      </c>
      <c r="E397" s="8">
        <v>278.15179999999998</v>
      </c>
      <c r="F397" s="8" t="s">
        <v>9</v>
      </c>
      <c r="G397" s="8" t="s">
        <v>9</v>
      </c>
      <c r="H397" s="8" t="s">
        <v>1</v>
      </c>
      <c r="I397" s="7" t="s">
        <v>0</v>
      </c>
      <c r="K397" s="16"/>
      <c r="L397" s="16"/>
    </row>
    <row r="398" spans="1:12" x14ac:dyDescent="0.2">
      <c r="A398" s="9" t="s">
        <v>3333</v>
      </c>
      <c r="B398" s="8" t="s">
        <v>231</v>
      </c>
      <c r="C398" s="8">
        <v>79362</v>
      </c>
      <c r="D398" s="69" t="s">
        <v>230</v>
      </c>
      <c r="E398" s="8">
        <v>278.15179999999998</v>
      </c>
      <c r="F398" s="8" t="s">
        <v>9</v>
      </c>
      <c r="G398" s="8" t="s">
        <v>1</v>
      </c>
      <c r="H398" s="8" t="s">
        <v>1</v>
      </c>
      <c r="I398" s="7" t="s">
        <v>0</v>
      </c>
      <c r="K398" s="16"/>
      <c r="L398" s="16"/>
    </row>
    <row r="399" spans="1:12" x14ac:dyDescent="0.2">
      <c r="A399" s="9" t="s">
        <v>3263</v>
      </c>
      <c r="B399" s="8" t="s">
        <v>229</v>
      </c>
      <c r="C399" s="8">
        <v>8575</v>
      </c>
      <c r="D399" s="69" t="s">
        <v>217</v>
      </c>
      <c r="E399" s="8">
        <v>222.08920000000001</v>
      </c>
      <c r="F399" s="8" t="s">
        <v>9</v>
      </c>
      <c r="G399" s="8" t="s">
        <v>1</v>
      </c>
      <c r="H399" s="8" t="s">
        <v>1</v>
      </c>
      <c r="I399" s="7" t="s">
        <v>0</v>
      </c>
      <c r="K399" s="16"/>
      <c r="L399" s="16"/>
    </row>
    <row r="400" spans="1:12" x14ac:dyDescent="0.2">
      <c r="A400" s="9" t="s">
        <v>963</v>
      </c>
      <c r="B400" s="8" t="s">
        <v>228</v>
      </c>
      <c r="C400" s="8">
        <v>170295</v>
      </c>
      <c r="D400" s="69" t="s">
        <v>227</v>
      </c>
      <c r="E400" s="8">
        <v>294.14670000000001</v>
      </c>
      <c r="F400" s="8" t="s">
        <v>1</v>
      </c>
      <c r="G400" s="8" t="s">
        <v>1</v>
      </c>
      <c r="H400" s="8" t="s">
        <v>1</v>
      </c>
      <c r="I400" s="7" t="s">
        <v>0</v>
      </c>
      <c r="K400" s="16"/>
      <c r="L400" s="16"/>
    </row>
    <row r="401" spans="1:12" x14ac:dyDescent="0.2">
      <c r="A401" s="9" t="s">
        <v>3215</v>
      </c>
      <c r="B401" s="8" t="s">
        <v>226</v>
      </c>
      <c r="C401" s="8">
        <v>119096</v>
      </c>
      <c r="D401" s="69" t="s">
        <v>225</v>
      </c>
      <c r="E401" s="8">
        <v>292.1311</v>
      </c>
      <c r="F401" s="8" t="s">
        <v>1</v>
      </c>
      <c r="G401" s="8" t="s">
        <v>1</v>
      </c>
      <c r="H401" s="8" t="s">
        <v>1</v>
      </c>
      <c r="I401" s="7" t="s">
        <v>0</v>
      </c>
      <c r="K401" s="16"/>
      <c r="L401" s="16"/>
    </row>
    <row r="402" spans="1:12" x14ac:dyDescent="0.2">
      <c r="A402" s="9" t="s">
        <v>3353</v>
      </c>
      <c r="B402" s="8" t="s">
        <v>224</v>
      </c>
      <c r="C402" s="8">
        <v>165618</v>
      </c>
      <c r="D402" s="69" t="s">
        <v>223</v>
      </c>
      <c r="E402" s="8">
        <v>248.10489999999999</v>
      </c>
      <c r="F402" s="8" t="s">
        <v>1</v>
      </c>
      <c r="G402" s="8" t="s">
        <v>1</v>
      </c>
      <c r="H402" s="8" t="s">
        <v>1</v>
      </c>
      <c r="I402" s="7" t="s">
        <v>0</v>
      </c>
      <c r="K402" s="16"/>
      <c r="L402" s="16"/>
    </row>
    <row r="403" spans="1:12" x14ac:dyDescent="0.2">
      <c r="A403" s="9" t="s">
        <v>3310</v>
      </c>
      <c r="B403" s="8" t="s">
        <v>222</v>
      </c>
      <c r="C403" s="8">
        <v>31736</v>
      </c>
      <c r="D403" s="69" t="s">
        <v>221</v>
      </c>
      <c r="E403" s="8">
        <v>256.07350000000002</v>
      </c>
      <c r="F403" s="8" t="s">
        <v>1</v>
      </c>
      <c r="G403" s="8" t="s">
        <v>1</v>
      </c>
      <c r="H403" s="8" t="s">
        <v>1</v>
      </c>
      <c r="I403" s="7" t="s">
        <v>0</v>
      </c>
      <c r="K403" s="16"/>
      <c r="L403" s="16"/>
    </row>
    <row r="404" spans="1:12" x14ac:dyDescent="0.2">
      <c r="A404" s="9" t="s">
        <v>3377</v>
      </c>
      <c r="B404" s="8" t="s">
        <v>220</v>
      </c>
      <c r="C404" s="8">
        <v>148386</v>
      </c>
      <c r="D404" s="69" t="s">
        <v>219</v>
      </c>
      <c r="E404" s="8">
        <v>308.12599999999998</v>
      </c>
      <c r="F404" s="8" t="s">
        <v>1</v>
      </c>
      <c r="G404" s="8" t="s">
        <v>1</v>
      </c>
      <c r="H404" s="8" t="s">
        <v>1</v>
      </c>
      <c r="I404" s="7" t="s">
        <v>0</v>
      </c>
      <c r="K404" s="16"/>
      <c r="L404" s="16"/>
    </row>
    <row r="405" spans="1:12" x14ac:dyDescent="0.2">
      <c r="A405" s="9" t="s">
        <v>3272</v>
      </c>
      <c r="B405" s="8" t="s">
        <v>218</v>
      </c>
      <c r="C405" s="8">
        <v>92272</v>
      </c>
      <c r="D405" s="69" t="s">
        <v>217</v>
      </c>
      <c r="E405" s="8">
        <v>222.08920000000001</v>
      </c>
      <c r="F405" s="8" t="s">
        <v>1</v>
      </c>
      <c r="G405" s="8" t="s">
        <v>1</v>
      </c>
      <c r="H405" s="8" t="s">
        <v>1</v>
      </c>
      <c r="I405" s="7" t="s">
        <v>0</v>
      </c>
      <c r="K405" s="16"/>
      <c r="L405" s="16"/>
    </row>
    <row r="406" spans="1:12" x14ac:dyDescent="0.2">
      <c r="A406" s="9" t="s">
        <v>3253</v>
      </c>
      <c r="B406" s="8" t="s">
        <v>216</v>
      </c>
      <c r="C406" s="8">
        <v>110394</v>
      </c>
      <c r="D406" s="69" t="s">
        <v>215</v>
      </c>
      <c r="E406" s="8">
        <v>292.16750000000002</v>
      </c>
      <c r="F406" s="8" t="s">
        <v>1</v>
      </c>
      <c r="G406" s="8" t="s">
        <v>1</v>
      </c>
      <c r="H406" s="8" t="s">
        <v>1</v>
      </c>
      <c r="I406" s="7" t="s">
        <v>0</v>
      </c>
      <c r="K406" s="16"/>
      <c r="L406" s="16"/>
    </row>
    <row r="407" spans="1:12" x14ac:dyDescent="0.2">
      <c r="A407" s="9" t="s">
        <v>3274</v>
      </c>
      <c r="B407" s="8" t="s">
        <v>214</v>
      </c>
      <c r="C407" s="8">
        <v>20392</v>
      </c>
      <c r="D407" s="69" t="s">
        <v>213</v>
      </c>
      <c r="E407" s="8">
        <v>180.04230000000001</v>
      </c>
      <c r="F407" s="8" t="s">
        <v>1</v>
      </c>
      <c r="G407" s="8" t="s">
        <v>1</v>
      </c>
      <c r="H407" s="8" t="s">
        <v>1</v>
      </c>
      <c r="I407" s="7" t="s">
        <v>0</v>
      </c>
      <c r="K407" s="16"/>
      <c r="L407" s="16"/>
    </row>
    <row r="408" spans="1:12" x14ac:dyDescent="0.2">
      <c r="A408" s="9" t="s">
        <v>3269</v>
      </c>
      <c r="B408" s="8" t="s">
        <v>212</v>
      </c>
      <c r="C408" s="8">
        <v>75318</v>
      </c>
      <c r="D408" s="69" t="s">
        <v>211</v>
      </c>
      <c r="E408" s="8">
        <v>194.05789999999999</v>
      </c>
      <c r="F408" s="8" t="s">
        <v>1</v>
      </c>
      <c r="G408" s="8" t="s">
        <v>1</v>
      </c>
      <c r="H408" s="8" t="s">
        <v>1</v>
      </c>
      <c r="I408" s="7" t="s">
        <v>0</v>
      </c>
      <c r="K408" s="16"/>
      <c r="L408" s="16"/>
    </row>
    <row r="409" spans="1:12" x14ac:dyDescent="0.2">
      <c r="A409" s="15" t="s">
        <v>210</v>
      </c>
      <c r="B409" s="8" t="s">
        <v>17</v>
      </c>
      <c r="C409" s="8" t="s">
        <v>17</v>
      </c>
      <c r="D409" s="69" t="s">
        <v>17</v>
      </c>
      <c r="E409" s="10" t="s">
        <v>17</v>
      </c>
      <c r="F409" s="8" t="s">
        <v>17</v>
      </c>
      <c r="G409" s="8" t="s">
        <v>17</v>
      </c>
      <c r="H409" s="8" t="s">
        <v>17</v>
      </c>
      <c r="I409" s="7" t="s">
        <v>17</v>
      </c>
      <c r="K409" s="16"/>
      <c r="L409" s="16"/>
    </row>
    <row r="410" spans="1:12" x14ac:dyDescent="0.2">
      <c r="A410" s="9" t="s">
        <v>3347</v>
      </c>
      <c r="B410" s="13" t="s">
        <v>209</v>
      </c>
      <c r="C410" s="8">
        <v>12130</v>
      </c>
      <c r="D410" s="69" t="s">
        <v>208</v>
      </c>
      <c r="E410" s="13">
        <v>130.11060000000001</v>
      </c>
      <c r="F410" s="8" t="s">
        <v>1</v>
      </c>
      <c r="G410" s="8" t="s">
        <v>9</v>
      </c>
      <c r="H410" s="13" t="s">
        <v>69</v>
      </c>
      <c r="I410" s="7" t="s">
        <v>41</v>
      </c>
      <c r="K410" s="16"/>
      <c r="L410" s="16"/>
    </row>
    <row r="411" spans="1:12" x14ac:dyDescent="0.2">
      <c r="A411" s="15" t="s">
        <v>207</v>
      </c>
      <c r="B411" s="8" t="s">
        <v>17</v>
      </c>
      <c r="C411" s="8" t="s">
        <v>17</v>
      </c>
      <c r="D411" s="69" t="s">
        <v>17</v>
      </c>
      <c r="E411" s="10" t="s">
        <v>17</v>
      </c>
      <c r="F411" s="8" t="s">
        <v>17</v>
      </c>
      <c r="G411" s="8" t="s">
        <v>17</v>
      </c>
      <c r="H411" s="8" t="s">
        <v>17</v>
      </c>
      <c r="I411" s="7" t="s">
        <v>17</v>
      </c>
      <c r="K411" s="16"/>
      <c r="L411" s="16"/>
    </row>
    <row r="412" spans="1:12" x14ac:dyDescent="0.2">
      <c r="A412" s="9" t="s">
        <v>3170</v>
      </c>
      <c r="B412" s="13" t="s">
        <v>206</v>
      </c>
      <c r="C412" s="8">
        <v>8147</v>
      </c>
      <c r="D412" s="69" t="s">
        <v>205</v>
      </c>
      <c r="E412" s="13">
        <v>172.006</v>
      </c>
      <c r="F412" s="8" t="s">
        <v>1</v>
      </c>
      <c r="G412" s="8" t="s">
        <v>1</v>
      </c>
      <c r="H412" s="13" t="s">
        <v>1</v>
      </c>
      <c r="I412" s="7" t="s">
        <v>59</v>
      </c>
      <c r="K412" s="16"/>
      <c r="L412" s="16"/>
    </row>
    <row r="413" spans="1:12" x14ac:dyDescent="0.2">
      <c r="A413" s="9" t="s">
        <v>3368</v>
      </c>
      <c r="B413" s="13" t="s">
        <v>204</v>
      </c>
      <c r="C413" s="8">
        <v>7247</v>
      </c>
      <c r="D413" s="69" t="s">
        <v>203</v>
      </c>
      <c r="E413" s="13">
        <v>120.0939</v>
      </c>
      <c r="F413" s="8" t="s">
        <v>1</v>
      </c>
      <c r="G413" s="8" t="s">
        <v>1</v>
      </c>
      <c r="H413" s="13" t="s">
        <v>1</v>
      </c>
      <c r="I413" s="7" t="s">
        <v>0</v>
      </c>
      <c r="K413" s="16"/>
      <c r="L413" s="16"/>
    </row>
    <row r="414" spans="1:12" x14ac:dyDescent="0.2">
      <c r="A414" s="9" t="s">
        <v>3373</v>
      </c>
      <c r="B414" s="13" t="s">
        <v>202</v>
      </c>
      <c r="C414" s="8">
        <v>7463</v>
      </c>
      <c r="D414" s="69" t="s">
        <v>201</v>
      </c>
      <c r="E414" s="13">
        <v>134.1096</v>
      </c>
      <c r="F414" s="8" t="s">
        <v>1</v>
      </c>
      <c r="G414" s="8" t="s">
        <v>1</v>
      </c>
      <c r="H414" s="13" t="s">
        <v>1</v>
      </c>
      <c r="I414" s="7" t="s">
        <v>66</v>
      </c>
      <c r="K414" s="16"/>
      <c r="L414" s="16"/>
    </row>
    <row r="415" spans="1:12" x14ac:dyDescent="0.2">
      <c r="A415" s="9" t="s">
        <v>2553</v>
      </c>
      <c r="B415" s="13" t="s">
        <v>200</v>
      </c>
      <c r="C415" s="8">
        <v>7366</v>
      </c>
      <c r="D415" s="69" t="s">
        <v>194</v>
      </c>
      <c r="E415" s="13">
        <v>134.1096</v>
      </c>
      <c r="F415" s="8" t="s">
        <v>1</v>
      </c>
      <c r="G415" s="8" t="s">
        <v>1</v>
      </c>
      <c r="H415" s="13" t="s">
        <v>1</v>
      </c>
      <c r="I415" s="7" t="s">
        <v>0</v>
      </c>
      <c r="K415" s="16"/>
      <c r="L415" s="16"/>
    </row>
    <row r="416" spans="1:12" x14ac:dyDescent="0.2">
      <c r="A416" s="9" t="s">
        <v>3303</v>
      </c>
      <c r="B416" s="13" t="s">
        <v>199</v>
      </c>
      <c r="C416" s="8">
        <v>8680</v>
      </c>
      <c r="D416" s="69" t="s">
        <v>194</v>
      </c>
      <c r="E416" s="13">
        <v>134.1096</v>
      </c>
      <c r="F416" s="8" t="s">
        <v>1</v>
      </c>
      <c r="G416" s="8" t="s">
        <v>1</v>
      </c>
      <c r="H416" s="13" t="s">
        <v>1</v>
      </c>
      <c r="I416" s="7" t="s">
        <v>0</v>
      </c>
    </row>
    <row r="417" spans="1:12" customFormat="1" x14ac:dyDescent="0.2">
      <c r="A417" s="9" t="s">
        <v>2563</v>
      </c>
      <c r="B417" s="13" t="s">
        <v>198</v>
      </c>
      <c r="C417" s="8">
        <v>7238</v>
      </c>
      <c r="D417" s="69" t="s">
        <v>196</v>
      </c>
      <c r="E417" s="13">
        <v>126.0236</v>
      </c>
      <c r="F417" s="8" t="s">
        <v>1</v>
      </c>
      <c r="G417" s="8" t="s">
        <v>1</v>
      </c>
      <c r="H417" s="13" t="s">
        <v>1</v>
      </c>
      <c r="I417" s="7" t="s">
        <v>0</v>
      </c>
      <c r="K417" s="1"/>
      <c r="L417" s="1"/>
    </row>
    <row r="418" spans="1:12" customFormat="1" x14ac:dyDescent="0.2">
      <c r="A418" s="9" t="s">
        <v>2565</v>
      </c>
      <c r="B418" s="13" t="s">
        <v>197</v>
      </c>
      <c r="C418" s="8">
        <v>7810</v>
      </c>
      <c r="D418" s="69" t="s">
        <v>196</v>
      </c>
      <c r="E418" s="13">
        <v>126.0236</v>
      </c>
      <c r="F418" s="8" t="s">
        <v>1</v>
      </c>
      <c r="G418" s="8" t="s">
        <v>1</v>
      </c>
      <c r="H418" s="13" t="s">
        <v>1</v>
      </c>
      <c r="I418" s="7" t="s">
        <v>0</v>
      </c>
      <c r="K418" s="1"/>
      <c r="L418" s="1"/>
    </row>
    <row r="419" spans="1:12" customFormat="1" x14ac:dyDescent="0.2">
      <c r="A419" s="9" t="s">
        <v>2550</v>
      </c>
      <c r="B419" s="13" t="s">
        <v>195</v>
      </c>
      <c r="C419" s="8">
        <v>7705</v>
      </c>
      <c r="D419" s="69" t="s">
        <v>194</v>
      </c>
      <c r="E419" s="13">
        <v>134.1096</v>
      </c>
      <c r="F419" s="8" t="s">
        <v>1</v>
      </c>
      <c r="G419" s="8" t="s">
        <v>1</v>
      </c>
      <c r="H419" s="13" t="s">
        <v>1</v>
      </c>
      <c r="I419" s="7" t="s">
        <v>0</v>
      </c>
      <c r="K419" s="1"/>
      <c r="L419" s="1"/>
    </row>
    <row r="420" spans="1:12" customFormat="1" x14ac:dyDescent="0.2">
      <c r="A420" s="9" t="s">
        <v>2997</v>
      </c>
      <c r="B420" s="13" t="s">
        <v>193</v>
      </c>
      <c r="C420" s="8">
        <v>12389</v>
      </c>
      <c r="D420" s="69" t="s">
        <v>192</v>
      </c>
      <c r="E420" s="13">
        <v>198.23480000000001</v>
      </c>
      <c r="F420" s="8" t="s">
        <v>1</v>
      </c>
      <c r="G420" s="8" t="s">
        <v>1</v>
      </c>
      <c r="H420" s="13" t="s">
        <v>1</v>
      </c>
      <c r="I420" s="7" t="s">
        <v>179</v>
      </c>
      <c r="K420" s="1"/>
      <c r="L420" s="1"/>
    </row>
    <row r="421" spans="1:12" customFormat="1" x14ac:dyDescent="0.2">
      <c r="A421" s="9" t="s">
        <v>2999</v>
      </c>
      <c r="B421" s="13" t="s">
        <v>191</v>
      </c>
      <c r="C421" s="8">
        <v>12391</v>
      </c>
      <c r="D421" s="69" t="s">
        <v>190</v>
      </c>
      <c r="E421" s="13">
        <v>212.25040000000001</v>
      </c>
      <c r="F421" s="8" t="s">
        <v>1</v>
      </c>
      <c r="G421" s="8" t="s">
        <v>1</v>
      </c>
      <c r="H421" s="13" t="s">
        <v>1</v>
      </c>
      <c r="I421" s="7" t="s">
        <v>179</v>
      </c>
      <c r="K421" s="1"/>
      <c r="L421" s="1"/>
    </row>
    <row r="422" spans="1:12" customFormat="1" x14ac:dyDescent="0.2">
      <c r="A422" s="9" t="s">
        <v>3001</v>
      </c>
      <c r="B422" s="13" t="s">
        <v>189</v>
      </c>
      <c r="C422" s="8">
        <v>11006</v>
      </c>
      <c r="D422" s="69" t="s">
        <v>188</v>
      </c>
      <c r="E422" s="13">
        <v>226.26609999999999</v>
      </c>
      <c r="F422" s="8" t="s">
        <v>1</v>
      </c>
      <c r="G422" s="8" t="s">
        <v>1</v>
      </c>
      <c r="H422" s="13" t="s">
        <v>1</v>
      </c>
      <c r="I422" s="7" t="s">
        <v>179</v>
      </c>
      <c r="K422" s="1"/>
      <c r="L422" s="1"/>
    </row>
    <row r="423" spans="1:12" customFormat="1" x14ac:dyDescent="0.2">
      <c r="A423" s="9" t="s">
        <v>3005</v>
      </c>
      <c r="B423" s="13" t="s">
        <v>187</v>
      </c>
      <c r="C423" s="8">
        <v>11635</v>
      </c>
      <c r="D423" s="69" t="s">
        <v>186</v>
      </c>
      <c r="E423" s="13">
        <v>254.29740000000001</v>
      </c>
      <c r="F423" s="8" t="s">
        <v>1</v>
      </c>
      <c r="G423" s="8" t="s">
        <v>1</v>
      </c>
      <c r="H423" s="13" t="s">
        <v>1</v>
      </c>
      <c r="I423" s="7" t="s">
        <v>179</v>
      </c>
      <c r="K423" s="1"/>
      <c r="L423" s="1"/>
    </row>
    <row r="424" spans="1:12" customFormat="1" x14ac:dyDescent="0.2">
      <c r="A424" s="9" t="s">
        <v>2995</v>
      </c>
      <c r="B424" s="13" t="s">
        <v>185</v>
      </c>
      <c r="C424" s="8">
        <v>12388</v>
      </c>
      <c r="D424" s="69" t="s">
        <v>184</v>
      </c>
      <c r="E424" s="13">
        <v>184.2191</v>
      </c>
      <c r="F424" s="8" t="s">
        <v>1</v>
      </c>
      <c r="G424" s="8" t="s">
        <v>1</v>
      </c>
      <c r="H424" s="13" t="s">
        <v>1</v>
      </c>
      <c r="I424" s="7" t="s">
        <v>179</v>
      </c>
      <c r="K424" s="1"/>
      <c r="L424" s="1"/>
    </row>
    <row r="425" spans="1:12" customFormat="1" x14ac:dyDescent="0.2">
      <c r="A425" s="9" t="s">
        <v>3265</v>
      </c>
      <c r="B425" s="13" t="s">
        <v>183</v>
      </c>
      <c r="C425" s="8">
        <v>8857</v>
      </c>
      <c r="D425" s="69" t="s">
        <v>182</v>
      </c>
      <c r="E425" s="13">
        <v>88.052400000000006</v>
      </c>
      <c r="F425" s="8" t="s">
        <v>1</v>
      </c>
      <c r="G425" s="8" t="s">
        <v>1</v>
      </c>
      <c r="H425" s="13" t="s">
        <v>1</v>
      </c>
      <c r="I425" s="7" t="s">
        <v>85</v>
      </c>
      <c r="K425" s="1"/>
      <c r="L425" s="1"/>
    </row>
    <row r="426" spans="1:12" customFormat="1" x14ac:dyDescent="0.2">
      <c r="A426" s="9" t="s">
        <v>2993</v>
      </c>
      <c r="B426" s="13" t="s">
        <v>181</v>
      </c>
      <c r="C426" s="8">
        <v>8182</v>
      </c>
      <c r="D426" s="69" t="s">
        <v>180</v>
      </c>
      <c r="E426" s="13">
        <v>170.20349999999999</v>
      </c>
      <c r="F426" s="8" t="s">
        <v>1</v>
      </c>
      <c r="G426" s="8" t="s">
        <v>1</v>
      </c>
      <c r="H426" s="13" t="s">
        <v>1</v>
      </c>
      <c r="I426" s="7" t="s">
        <v>179</v>
      </c>
      <c r="K426" s="1"/>
      <c r="L426" s="1"/>
    </row>
    <row r="427" spans="1:12" customFormat="1" x14ac:dyDescent="0.2">
      <c r="A427" s="9" t="s">
        <v>2608</v>
      </c>
      <c r="B427" s="13" t="s">
        <v>178</v>
      </c>
      <c r="C427" s="8">
        <v>7500</v>
      </c>
      <c r="D427" s="69" t="s">
        <v>177</v>
      </c>
      <c r="E427" s="13">
        <v>106.0783</v>
      </c>
      <c r="F427" s="8" t="s">
        <v>9</v>
      </c>
      <c r="G427" s="8" t="s">
        <v>1</v>
      </c>
      <c r="H427" s="13" t="s">
        <v>69</v>
      </c>
      <c r="I427" s="7" t="s">
        <v>0</v>
      </c>
      <c r="K427" s="1"/>
      <c r="L427" s="1"/>
    </row>
    <row r="428" spans="1:12" customFormat="1" x14ac:dyDescent="0.2">
      <c r="A428" s="9" t="s">
        <v>2596</v>
      </c>
      <c r="B428" s="13" t="s">
        <v>176</v>
      </c>
      <c r="C428" s="8">
        <v>8881</v>
      </c>
      <c r="D428" s="69" t="s">
        <v>175</v>
      </c>
      <c r="E428" s="13">
        <v>111.9847</v>
      </c>
      <c r="F428" s="8" t="s">
        <v>1</v>
      </c>
      <c r="G428" s="8" t="s">
        <v>1</v>
      </c>
      <c r="H428" s="13" t="s">
        <v>69</v>
      </c>
      <c r="I428" s="7" t="s">
        <v>174</v>
      </c>
      <c r="K428" s="1"/>
      <c r="L428" s="1"/>
    </row>
    <row r="429" spans="1:12" customFormat="1" x14ac:dyDescent="0.2">
      <c r="A429" s="9" t="s">
        <v>2268</v>
      </c>
      <c r="B429" s="13" t="s">
        <v>173</v>
      </c>
      <c r="C429" s="8">
        <v>6544</v>
      </c>
      <c r="D429" s="69" t="s">
        <v>172</v>
      </c>
      <c r="E429" s="13">
        <v>138.1045</v>
      </c>
      <c r="F429" s="8" t="s">
        <v>1</v>
      </c>
      <c r="G429" s="8" t="s">
        <v>1</v>
      </c>
      <c r="H429" s="13" t="s">
        <v>69</v>
      </c>
      <c r="I429" s="7" t="s">
        <v>59</v>
      </c>
      <c r="K429" s="1"/>
      <c r="L429" s="1"/>
    </row>
    <row r="430" spans="1:12" customFormat="1" x14ac:dyDescent="0.2">
      <c r="A430" s="9" t="s">
        <v>3278</v>
      </c>
      <c r="B430" s="13" t="s">
        <v>171</v>
      </c>
      <c r="C430" s="8">
        <v>6046</v>
      </c>
      <c r="D430" s="69" t="s">
        <v>170</v>
      </c>
      <c r="E430" s="13">
        <v>116.0586</v>
      </c>
      <c r="F430" s="8" t="s">
        <v>1</v>
      </c>
      <c r="G430" s="8" t="s">
        <v>1</v>
      </c>
      <c r="H430" s="13" t="s">
        <v>69</v>
      </c>
      <c r="I430" s="7" t="s">
        <v>169</v>
      </c>
      <c r="K430" s="1"/>
      <c r="L430" s="1"/>
    </row>
    <row r="431" spans="1:12" customFormat="1" x14ac:dyDescent="0.2">
      <c r="A431" s="9" t="s">
        <v>1448</v>
      </c>
      <c r="B431" s="13" t="s">
        <v>168</v>
      </c>
      <c r="C431" s="8">
        <v>1140</v>
      </c>
      <c r="D431" s="69" t="s">
        <v>167</v>
      </c>
      <c r="E431" s="13">
        <v>92.062600000000003</v>
      </c>
      <c r="F431" s="8" t="s">
        <v>9</v>
      </c>
      <c r="G431" s="8" t="s">
        <v>1</v>
      </c>
      <c r="H431" s="13">
        <v>3</v>
      </c>
      <c r="I431" s="7" t="s">
        <v>0</v>
      </c>
      <c r="K431" s="1"/>
      <c r="L431" s="1"/>
    </row>
    <row r="432" spans="1:12" customFormat="1" x14ac:dyDescent="0.2">
      <c r="A432" s="9" t="s">
        <v>3173</v>
      </c>
      <c r="B432" s="13" t="s">
        <v>166</v>
      </c>
      <c r="C432" s="8">
        <v>7944</v>
      </c>
      <c r="D432" s="69" t="s">
        <v>165</v>
      </c>
      <c r="E432" s="13">
        <v>170.02699999999999</v>
      </c>
      <c r="F432" s="8" t="s">
        <v>1</v>
      </c>
      <c r="G432" s="8" t="s">
        <v>1</v>
      </c>
      <c r="H432" s="13">
        <v>3</v>
      </c>
      <c r="I432" s="7" t="s">
        <v>59</v>
      </c>
      <c r="K432" s="1"/>
      <c r="L432" s="1"/>
    </row>
    <row r="433" spans="1:12" customFormat="1" x14ac:dyDescent="0.2">
      <c r="A433" s="9" t="s">
        <v>2652</v>
      </c>
      <c r="B433" s="13" t="s">
        <v>164</v>
      </c>
      <c r="C433" s="8">
        <v>7237</v>
      </c>
      <c r="D433" s="69" t="s">
        <v>163</v>
      </c>
      <c r="E433" s="13">
        <v>106.0783</v>
      </c>
      <c r="F433" s="8" t="s">
        <v>1</v>
      </c>
      <c r="G433" s="8" t="s">
        <v>1</v>
      </c>
      <c r="H433" s="13">
        <v>3</v>
      </c>
      <c r="I433" s="7" t="s">
        <v>0</v>
      </c>
      <c r="K433" s="1"/>
      <c r="L433" s="1"/>
    </row>
    <row r="434" spans="1:12" customFormat="1" x14ac:dyDescent="0.2">
      <c r="A434" s="9" t="s">
        <v>1438</v>
      </c>
      <c r="B434" s="13" t="s">
        <v>162</v>
      </c>
      <c r="C434" s="8">
        <v>7975</v>
      </c>
      <c r="D434" s="69" t="s">
        <v>161</v>
      </c>
      <c r="E434" s="13">
        <v>93.057900000000004</v>
      </c>
      <c r="F434" s="8" t="s">
        <v>1</v>
      </c>
      <c r="G434" s="8" t="s">
        <v>1</v>
      </c>
      <c r="H434" s="13">
        <v>3</v>
      </c>
      <c r="I434" s="7" t="s">
        <v>38</v>
      </c>
      <c r="K434" s="1"/>
      <c r="L434" s="1"/>
    </row>
    <row r="435" spans="1:12" customFormat="1" x14ac:dyDescent="0.2">
      <c r="A435" s="15" t="s">
        <v>160</v>
      </c>
      <c r="B435" s="13" t="s">
        <v>17</v>
      </c>
      <c r="C435" s="8" t="s">
        <v>17</v>
      </c>
      <c r="D435" s="69" t="s">
        <v>17</v>
      </c>
      <c r="E435" s="10" t="s">
        <v>17</v>
      </c>
      <c r="F435" s="8" t="s">
        <v>17</v>
      </c>
      <c r="G435" s="8" t="s">
        <v>17</v>
      </c>
      <c r="H435" s="13" t="s">
        <v>17</v>
      </c>
      <c r="I435" s="7" t="s">
        <v>17</v>
      </c>
      <c r="K435" s="1"/>
      <c r="L435" s="1"/>
    </row>
    <row r="436" spans="1:12" customFormat="1" x14ac:dyDescent="0.2">
      <c r="A436" s="9" t="s">
        <v>2349</v>
      </c>
      <c r="B436" s="13" t="s">
        <v>159</v>
      </c>
      <c r="C436" s="8">
        <v>171092</v>
      </c>
      <c r="D436" s="69" t="s">
        <v>158</v>
      </c>
      <c r="E436" s="13">
        <v>264.20890000000003</v>
      </c>
      <c r="F436" s="8" t="s">
        <v>9</v>
      </c>
      <c r="G436" s="8" t="s">
        <v>1</v>
      </c>
      <c r="H436" s="13" t="s">
        <v>1</v>
      </c>
      <c r="I436" s="7" t="s">
        <v>138</v>
      </c>
      <c r="K436" s="1"/>
      <c r="L436" s="1"/>
    </row>
    <row r="437" spans="1:12" customFormat="1" x14ac:dyDescent="0.2">
      <c r="A437" s="9" t="s">
        <v>1456</v>
      </c>
      <c r="B437" s="13" t="s">
        <v>157</v>
      </c>
      <c r="C437" s="8">
        <v>24773</v>
      </c>
      <c r="D437" s="69" t="s">
        <v>156</v>
      </c>
      <c r="E437" s="13">
        <v>308.23509999999999</v>
      </c>
      <c r="F437" s="8" t="s">
        <v>9</v>
      </c>
      <c r="G437" s="8" t="s">
        <v>1</v>
      </c>
      <c r="H437" s="13" t="s">
        <v>1</v>
      </c>
      <c r="I437" s="7" t="s">
        <v>138</v>
      </c>
      <c r="K437" s="1"/>
      <c r="L437" s="1"/>
    </row>
    <row r="438" spans="1:12" customFormat="1" x14ac:dyDescent="0.2">
      <c r="A438" s="9" t="s">
        <v>1452</v>
      </c>
      <c r="B438" s="13" t="s">
        <v>155</v>
      </c>
      <c r="C438" s="8">
        <v>8814</v>
      </c>
      <c r="D438" s="69" t="s">
        <v>154</v>
      </c>
      <c r="E438" s="13">
        <v>206.1671</v>
      </c>
      <c r="F438" s="8" t="s">
        <v>9</v>
      </c>
      <c r="G438" s="8" t="s">
        <v>1</v>
      </c>
      <c r="H438" s="13" t="s">
        <v>1</v>
      </c>
      <c r="I438" s="7" t="s">
        <v>0</v>
      </c>
      <c r="K438" s="1"/>
      <c r="L438" s="1"/>
    </row>
    <row r="439" spans="1:12" customFormat="1" x14ac:dyDescent="0.2">
      <c r="A439" s="9" t="s">
        <v>1454</v>
      </c>
      <c r="B439" s="13" t="s">
        <v>153</v>
      </c>
      <c r="C439" s="8">
        <v>1752</v>
      </c>
      <c r="D439" s="69" t="s">
        <v>152</v>
      </c>
      <c r="E439" s="13">
        <v>220.18270000000001</v>
      </c>
      <c r="F439" s="8" t="s">
        <v>9</v>
      </c>
      <c r="G439" s="8" t="s">
        <v>1</v>
      </c>
      <c r="H439" s="13" t="s">
        <v>1</v>
      </c>
      <c r="I439" s="7" t="s">
        <v>14</v>
      </c>
      <c r="K439" s="1"/>
      <c r="L439" s="1"/>
    </row>
    <row r="440" spans="1:12" customFormat="1" x14ac:dyDescent="0.2">
      <c r="A440" s="15" t="s">
        <v>151</v>
      </c>
      <c r="B440" s="13" t="s">
        <v>17</v>
      </c>
      <c r="C440" s="8" t="s">
        <v>17</v>
      </c>
      <c r="D440" s="69" t="s">
        <v>17</v>
      </c>
      <c r="E440" s="10" t="s">
        <v>17</v>
      </c>
      <c r="F440" s="8" t="s">
        <v>17</v>
      </c>
      <c r="G440" s="8" t="s">
        <v>17</v>
      </c>
      <c r="H440" s="13" t="s">
        <v>17</v>
      </c>
      <c r="I440" s="7" t="s">
        <v>17</v>
      </c>
      <c r="K440" s="1"/>
      <c r="L440" s="1"/>
    </row>
    <row r="441" spans="1:12" customFormat="1" x14ac:dyDescent="0.2">
      <c r="A441" s="9" t="s">
        <v>2330</v>
      </c>
      <c r="B441" s="13" t="s">
        <v>150</v>
      </c>
      <c r="C441" s="8">
        <v>992</v>
      </c>
      <c r="D441" s="69" t="s">
        <v>149</v>
      </c>
      <c r="E441" s="13">
        <v>263.84699999999998</v>
      </c>
      <c r="F441" s="8" t="s">
        <v>9</v>
      </c>
      <c r="G441" s="8" t="s">
        <v>1</v>
      </c>
      <c r="H441" s="13">
        <v>1</v>
      </c>
      <c r="I441" s="7" t="s">
        <v>14</v>
      </c>
      <c r="K441" s="1"/>
      <c r="L441" s="1"/>
    </row>
    <row r="442" spans="1:12" customFormat="1" x14ac:dyDescent="0.2">
      <c r="A442" s="9" t="s">
        <v>1459</v>
      </c>
      <c r="B442" s="13" t="s">
        <v>148</v>
      </c>
      <c r="C442" s="8">
        <v>11855</v>
      </c>
      <c r="D442" s="69" t="s">
        <v>147</v>
      </c>
      <c r="E442" s="13">
        <v>247.85210000000001</v>
      </c>
      <c r="F442" s="8" t="s">
        <v>9</v>
      </c>
      <c r="G442" s="8" t="s">
        <v>1</v>
      </c>
      <c r="H442" s="13" t="s">
        <v>1</v>
      </c>
      <c r="I442" s="7" t="s">
        <v>0</v>
      </c>
      <c r="K442" s="1"/>
      <c r="L442" s="1"/>
    </row>
    <row r="443" spans="1:12" customFormat="1" x14ac:dyDescent="0.2">
      <c r="A443" s="9" t="s">
        <v>3363</v>
      </c>
      <c r="B443" s="13" t="s">
        <v>146</v>
      </c>
      <c r="C443" s="8">
        <v>6914</v>
      </c>
      <c r="D443" s="69" t="s">
        <v>145</v>
      </c>
      <c r="E443" s="13">
        <v>195.92490000000001</v>
      </c>
      <c r="F443" s="8" t="s">
        <v>9</v>
      </c>
      <c r="G443" s="8" t="s">
        <v>1</v>
      </c>
      <c r="H443" s="13" t="s">
        <v>69</v>
      </c>
      <c r="I443" s="7" t="s">
        <v>14</v>
      </c>
      <c r="K443" s="1"/>
      <c r="L443" s="1"/>
    </row>
    <row r="444" spans="1:12" customFormat="1" x14ac:dyDescent="0.2">
      <c r="A444" s="9" t="s">
        <v>3371</v>
      </c>
      <c r="B444" s="13" t="s">
        <v>144</v>
      </c>
      <c r="C444" s="8">
        <v>7271</v>
      </c>
      <c r="D444" s="69" t="s">
        <v>143</v>
      </c>
      <c r="E444" s="13">
        <v>195.92490000000001</v>
      </c>
      <c r="F444" s="8" t="s">
        <v>9</v>
      </c>
      <c r="G444" s="8" t="s">
        <v>1</v>
      </c>
      <c r="H444" s="13" t="s">
        <v>69</v>
      </c>
      <c r="I444" s="7" t="s">
        <v>14</v>
      </c>
      <c r="K444" s="1"/>
      <c r="L444" s="1"/>
    </row>
    <row r="445" spans="1:12" customFormat="1" x14ac:dyDescent="0.2">
      <c r="A445" s="15" t="s">
        <v>142</v>
      </c>
      <c r="B445" s="10"/>
      <c r="C445" s="10"/>
      <c r="D445" s="71"/>
      <c r="E445" s="10"/>
      <c r="F445" s="10"/>
      <c r="G445" s="10"/>
      <c r="H445" s="10"/>
      <c r="I445" s="7" t="s">
        <v>141</v>
      </c>
      <c r="K445" s="1"/>
      <c r="L445" s="1"/>
    </row>
    <row r="446" spans="1:12" customFormat="1" x14ac:dyDescent="0.2">
      <c r="A446" s="9" t="s">
        <v>1936</v>
      </c>
      <c r="B446" s="13" t="s">
        <v>140</v>
      </c>
      <c r="C446" s="8">
        <v>15767</v>
      </c>
      <c r="D446" s="69" t="s">
        <v>139</v>
      </c>
      <c r="E446" s="13">
        <v>277.86259999999999</v>
      </c>
      <c r="F446" s="8" t="s">
        <v>1</v>
      </c>
      <c r="G446" s="8" t="s">
        <v>1</v>
      </c>
      <c r="H446" s="13" t="s">
        <v>1</v>
      </c>
      <c r="I446" s="7" t="s">
        <v>138</v>
      </c>
      <c r="K446" s="1"/>
      <c r="L446" s="1"/>
    </row>
    <row r="447" spans="1:12" customFormat="1" x14ac:dyDescent="0.2">
      <c r="A447" s="14" t="s">
        <v>137</v>
      </c>
      <c r="B447" s="13" t="s">
        <v>17</v>
      </c>
      <c r="C447" s="8" t="s">
        <v>17</v>
      </c>
      <c r="D447" s="69" t="s">
        <v>17</v>
      </c>
      <c r="E447" s="10" t="s">
        <v>17</v>
      </c>
      <c r="F447" s="8" t="s">
        <v>17</v>
      </c>
      <c r="G447" s="8" t="s">
        <v>17</v>
      </c>
      <c r="H447" s="13" t="s">
        <v>17</v>
      </c>
      <c r="I447" s="7" t="s">
        <v>17</v>
      </c>
      <c r="K447" s="1"/>
      <c r="L447" s="1"/>
    </row>
    <row r="448" spans="1:12" customFormat="1" x14ac:dyDescent="0.2">
      <c r="A448" s="12" t="s">
        <v>136</v>
      </c>
      <c r="B448" s="13" t="s">
        <v>17</v>
      </c>
      <c r="C448" s="8" t="s">
        <v>17</v>
      </c>
      <c r="D448" s="69" t="s">
        <v>17</v>
      </c>
      <c r="E448" s="10" t="s">
        <v>17</v>
      </c>
      <c r="F448" s="8" t="s">
        <v>17</v>
      </c>
      <c r="G448" s="8" t="s">
        <v>17</v>
      </c>
      <c r="H448" s="13" t="s">
        <v>17</v>
      </c>
      <c r="I448" s="7" t="s">
        <v>17</v>
      </c>
      <c r="K448" s="1"/>
      <c r="L448" s="1"/>
    </row>
    <row r="449" spans="1:12" customFormat="1" x14ac:dyDescent="0.2">
      <c r="A449" s="9" t="s">
        <v>3288</v>
      </c>
      <c r="B449" s="8" t="s">
        <v>135</v>
      </c>
      <c r="C449" s="8">
        <v>72</v>
      </c>
      <c r="D449" s="69" t="s">
        <v>134</v>
      </c>
      <c r="E449" s="8">
        <v>154.0266</v>
      </c>
      <c r="F449" s="8" t="s">
        <v>9</v>
      </c>
      <c r="G449" s="8" t="s">
        <v>1</v>
      </c>
      <c r="H449" s="8" t="s">
        <v>1</v>
      </c>
      <c r="I449" s="7" t="s">
        <v>0</v>
      </c>
      <c r="K449" s="1"/>
      <c r="L449" s="1"/>
    </row>
    <row r="450" spans="1:12" customFormat="1" x14ac:dyDescent="0.2">
      <c r="A450" s="12" t="s">
        <v>133</v>
      </c>
      <c r="B450" s="13" t="s">
        <v>17</v>
      </c>
      <c r="C450" s="8" t="s">
        <v>17</v>
      </c>
      <c r="D450" s="69" t="s">
        <v>17</v>
      </c>
      <c r="E450" s="10" t="s">
        <v>17</v>
      </c>
      <c r="F450" s="8" t="s">
        <v>17</v>
      </c>
      <c r="G450" s="8" t="s">
        <v>17</v>
      </c>
      <c r="H450" s="13" t="s">
        <v>17</v>
      </c>
      <c r="I450" s="7" t="s">
        <v>17</v>
      </c>
      <c r="K450" s="1"/>
      <c r="L450" s="1"/>
    </row>
    <row r="451" spans="1:12" customFormat="1" x14ac:dyDescent="0.2">
      <c r="A451" s="9" t="s">
        <v>1140</v>
      </c>
      <c r="B451" s="8" t="s">
        <v>132</v>
      </c>
      <c r="C451" s="8">
        <v>31283</v>
      </c>
      <c r="D451" s="69" t="s">
        <v>131</v>
      </c>
      <c r="E451" s="8">
        <v>256.24020000000002</v>
      </c>
      <c r="F451" s="8" t="s">
        <v>1</v>
      </c>
      <c r="G451" s="8" t="s">
        <v>1</v>
      </c>
      <c r="H451" s="8" t="s">
        <v>1</v>
      </c>
      <c r="I451" s="7" t="s">
        <v>6</v>
      </c>
      <c r="K451" s="1"/>
      <c r="L451" s="1"/>
    </row>
    <row r="452" spans="1:12" customFormat="1" x14ac:dyDescent="0.2">
      <c r="A452" s="9" t="s">
        <v>1145</v>
      </c>
      <c r="B452" s="8" t="s">
        <v>130</v>
      </c>
      <c r="C452" s="8">
        <v>12366</v>
      </c>
      <c r="D452" s="69" t="s">
        <v>129</v>
      </c>
      <c r="E452" s="8">
        <v>284.2715</v>
      </c>
      <c r="F452" s="8" t="s">
        <v>1</v>
      </c>
      <c r="G452" s="8" t="s">
        <v>1</v>
      </c>
      <c r="H452" s="8" t="s">
        <v>1</v>
      </c>
      <c r="I452" s="7" t="s">
        <v>6</v>
      </c>
      <c r="K452" s="1"/>
      <c r="L452" s="1"/>
    </row>
    <row r="453" spans="1:12" customFormat="1" x14ac:dyDescent="0.2">
      <c r="A453" s="9" t="s">
        <v>1143</v>
      </c>
      <c r="B453" s="8" t="s">
        <v>128</v>
      </c>
      <c r="C453" s="8">
        <v>5363269</v>
      </c>
      <c r="D453" s="69" t="s">
        <v>127</v>
      </c>
      <c r="E453" s="8">
        <v>310.28719999999998</v>
      </c>
      <c r="F453" s="8" t="s">
        <v>1</v>
      </c>
      <c r="G453" s="8" t="s">
        <v>1</v>
      </c>
      <c r="H453" s="8" t="s">
        <v>1</v>
      </c>
      <c r="I453" s="7" t="s">
        <v>6</v>
      </c>
      <c r="K453" s="1"/>
      <c r="L453" s="1"/>
    </row>
    <row r="454" spans="1:12" customFormat="1" x14ac:dyDescent="0.2">
      <c r="A454" s="12" t="s">
        <v>126</v>
      </c>
      <c r="B454" s="8" t="s">
        <v>17</v>
      </c>
      <c r="C454" s="8" t="s">
        <v>17</v>
      </c>
      <c r="D454" s="69" t="s">
        <v>17</v>
      </c>
      <c r="E454" s="10" t="s">
        <v>17</v>
      </c>
      <c r="F454" s="8" t="s">
        <v>17</v>
      </c>
      <c r="G454" s="8" t="s">
        <v>17</v>
      </c>
      <c r="H454" s="8" t="s">
        <v>17</v>
      </c>
      <c r="I454" s="7" t="s">
        <v>17</v>
      </c>
      <c r="K454" s="1"/>
      <c r="L454" s="1"/>
    </row>
    <row r="455" spans="1:12" customFormat="1" x14ac:dyDescent="0.2">
      <c r="A455" s="9" t="s">
        <v>3167</v>
      </c>
      <c r="B455" s="8" t="s">
        <v>125</v>
      </c>
      <c r="C455" s="8">
        <v>637511</v>
      </c>
      <c r="D455" s="69" t="s">
        <v>124</v>
      </c>
      <c r="E455" s="8">
        <v>132.0575</v>
      </c>
      <c r="F455" s="8" t="s">
        <v>9</v>
      </c>
      <c r="G455" s="8" t="s">
        <v>1</v>
      </c>
      <c r="H455" s="8" t="s">
        <v>1</v>
      </c>
      <c r="I455" s="7" t="s">
        <v>123</v>
      </c>
      <c r="K455" s="1"/>
      <c r="L455" s="1"/>
    </row>
    <row r="456" spans="1:12" customFormat="1" x14ac:dyDescent="0.2">
      <c r="A456" s="9" t="s">
        <v>2970</v>
      </c>
      <c r="B456" s="8" t="s">
        <v>122</v>
      </c>
      <c r="C456" s="8">
        <v>8363</v>
      </c>
      <c r="D456" s="69" t="s">
        <v>27</v>
      </c>
      <c r="E456" s="8">
        <v>228.07859999999999</v>
      </c>
      <c r="F456" s="8" t="s">
        <v>9</v>
      </c>
      <c r="G456" s="8" t="s">
        <v>1</v>
      </c>
      <c r="H456" s="8" t="s">
        <v>1</v>
      </c>
      <c r="I456" s="7" t="s">
        <v>0</v>
      </c>
      <c r="K456" s="1"/>
      <c r="L456" s="1"/>
    </row>
    <row r="457" spans="1:12" customFormat="1" x14ac:dyDescent="0.2">
      <c r="A457" s="9" t="s">
        <v>2976</v>
      </c>
      <c r="B457" s="8" t="s">
        <v>121</v>
      </c>
      <c r="C457" s="8">
        <v>5315892</v>
      </c>
      <c r="D457" s="69" t="s">
        <v>120</v>
      </c>
      <c r="E457" s="8">
        <v>134.07316</v>
      </c>
      <c r="F457" s="8" t="s">
        <v>9</v>
      </c>
      <c r="G457" s="8" t="s">
        <v>1</v>
      </c>
      <c r="H457" s="8" t="s">
        <v>1</v>
      </c>
      <c r="I457" s="7" t="s">
        <v>119</v>
      </c>
      <c r="K457" s="1"/>
      <c r="L457" s="1"/>
    </row>
    <row r="458" spans="1:12" customFormat="1" x14ac:dyDescent="0.2">
      <c r="A458" s="9" t="s">
        <v>1202</v>
      </c>
      <c r="B458" s="8" t="s">
        <v>118</v>
      </c>
      <c r="C458" s="8">
        <v>6989</v>
      </c>
      <c r="D458" s="69" t="s">
        <v>117</v>
      </c>
      <c r="E458" s="8">
        <v>150.10445999999999</v>
      </c>
      <c r="F458" s="8" t="s">
        <v>9</v>
      </c>
      <c r="G458" s="8" t="s">
        <v>1</v>
      </c>
      <c r="H458" s="8" t="s">
        <v>1</v>
      </c>
      <c r="I458" s="7" t="s">
        <v>66</v>
      </c>
      <c r="K458" s="1"/>
      <c r="L458" s="1"/>
    </row>
    <row r="459" spans="1:12" customFormat="1" x14ac:dyDescent="0.2">
      <c r="A459" s="9" t="s">
        <v>1170</v>
      </c>
      <c r="B459" s="8" t="s">
        <v>116</v>
      </c>
      <c r="C459" s="8">
        <v>7762</v>
      </c>
      <c r="D459" s="69" t="s">
        <v>114</v>
      </c>
      <c r="E459" s="8">
        <v>116.08369999999999</v>
      </c>
      <c r="F459" s="8" t="s">
        <v>1</v>
      </c>
      <c r="G459" s="8" t="s">
        <v>9</v>
      </c>
      <c r="H459" s="8" t="s">
        <v>1</v>
      </c>
      <c r="I459" s="7" t="s">
        <v>6</v>
      </c>
      <c r="K459" s="1"/>
      <c r="L459" s="1"/>
    </row>
    <row r="460" spans="1:12" customFormat="1" x14ac:dyDescent="0.2">
      <c r="A460" s="9" t="s">
        <v>1189</v>
      </c>
      <c r="B460" s="8" t="s">
        <v>115</v>
      </c>
      <c r="C460" s="8">
        <v>8892</v>
      </c>
      <c r="D460" s="69" t="s">
        <v>114</v>
      </c>
      <c r="E460" s="8">
        <v>116.08369999999999</v>
      </c>
      <c r="F460" s="8" t="s">
        <v>1</v>
      </c>
      <c r="G460" s="8" t="s">
        <v>9</v>
      </c>
      <c r="H460" s="8" t="s">
        <v>1</v>
      </c>
      <c r="I460" s="7" t="s">
        <v>6</v>
      </c>
      <c r="K460" s="1"/>
      <c r="L460" s="1"/>
    </row>
    <row r="461" spans="1:12" customFormat="1" x14ac:dyDescent="0.2">
      <c r="A461" s="9" t="s">
        <v>1164</v>
      </c>
      <c r="B461" s="8" t="s">
        <v>113</v>
      </c>
      <c r="C461" s="8">
        <v>7410</v>
      </c>
      <c r="D461" s="69" t="s">
        <v>112</v>
      </c>
      <c r="E461" s="8">
        <v>120.0575</v>
      </c>
      <c r="F461" s="8" t="s">
        <v>1</v>
      </c>
      <c r="G461" s="8" t="s">
        <v>9</v>
      </c>
      <c r="H461" s="8" t="s">
        <v>1</v>
      </c>
      <c r="I461" s="7" t="s">
        <v>59</v>
      </c>
      <c r="K461" s="1"/>
      <c r="L461" s="1"/>
    </row>
    <row r="462" spans="1:12" customFormat="1" x14ac:dyDescent="0.2">
      <c r="A462" s="9" t="s">
        <v>1198</v>
      </c>
      <c r="B462" s="8" t="s">
        <v>111</v>
      </c>
      <c r="C462" s="8">
        <v>26447</v>
      </c>
      <c r="D462" s="69" t="s">
        <v>73</v>
      </c>
      <c r="E462" s="8">
        <v>154.13579999999999</v>
      </c>
      <c r="F462" s="8" t="s">
        <v>1</v>
      </c>
      <c r="G462" s="8" t="s">
        <v>9</v>
      </c>
      <c r="H462" s="8" t="s">
        <v>1</v>
      </c>
      <c r="I462" s="7" t="s">
        <v>66</v>
      </c>
      <c r="K462" s="1"/>
      <c r="L462" s="1"/>
    </row>
    <row r="463" spans="1:12" customFormat="1" x14ac:dyDescent="0.2">
      <c r="A463" s="9" t="s">
        <v>2784</v>
      </c>
      <c r="B463" s="8" t="s">
        <v>110</v>
      </c>
      <c r="C463" s="8">
        <v>31251</v>
      </c>
      <c r="D463" s="69" t="s">
        <v>109</v>
      </c>
      <c r="E463" s="8">
        <v>186.16200000000001</v>
      </c>
      <c r="F463" s="8" t="s">
        <v>1</v>
      </c>
      <c r="G463" s="8" t="s">
        <v>1</v>
      </c>
      <c r="H463" s="8" t="s">
        <v>1</v>
      </c>
      <c r="I463" s="7" t="s">
        <v>6</v>
      </c>
      <c r="K463" s="1"/>
      <c r="L463" s="1"/>
    </row>
    <row r="464" spans="1:12" customFormat="1" x14ac:dyDescent="0.2">
      <c r="A464" s="9" t="s">
        <v>2781</v>
      </c>
      <c r="B464" s="8" t="s">
        <v>108</v>
      </c>
      <c r="C464" s="8">
        <v>7799</v>
      </c>
      <c r="D464" s="69" t="s">
        <v>94</v>
      </c>
      <c r="E464" s="8">
        <v>172.1463</v>
      </c>
      <c r="F464" s="8" t="s">
        <v>1</v>
      </c>
      <c r="G464" s="8" t="s">
        <v>1</v>
      </c>
      <c r="H464" s="8" t="s">
        <v>1</v>
      </c>
      <c r="I464" s="7" t="s">
        <v>6</v>
      </c>
      <c r="K464" s="1"/>
      <c r="L464" s="1"/>
    </row>
    <row r="465" spans="1:12" customFormat="1" x14ac:dyDescent="0.2">
      <c r="A465" s="9" t="s">
        <v>2794</v>
      </c>
      <c r="B465" s="8" t="s">
        <v>107</v>
      </c>
      <c r="C465" s="8">
        <v>8122</v>
      </c>
      <c r="D465" s="69" t="s">
        <v>106</v>
      </c>
      <c r="E465" s="8">
        <v>312.30279999999999</v>
      </c>
      <c r="F465" s="8" t="s">
        <v>1</v>
      </c>
      <c r="G465" s="8" t="s">
        <v>1</v>
      </c>
      <c r="H465" s="8" t="s">
        <v>1</v>
      </c>
      <c r="I465" s="7" t="s">
        <v>6</v>
      </c>
      <c r="K465" s="1"/>
      <c r="L465" s="1"/>
    </row>
    <row r="466" spans="1:12" customFormat="1" x14ac:dyDescent="0.2">
      <c r="A466" s="9" t="s">
        <v>2786</v>
      </c>
      <c r="B466" s="8" t="s">
        <v>105</v>
      </c>
      <c r="C466" s="8">
        <v>8048</v>
      </c>
      <c r="D466" s="69" t="s">
        <v>104</v>
      </c>
      <c r="E466" s="8">
        <v>200.17760000000001</v>
      </c>
      <c r="F466" s="8" t="s">
        <v>1</v>
      </c>
      <c r="G466" s="8" t="s">
        <v>1</v>
      </c>
      <c r="H466" s="8" t="s">
        <v>1</v>
      </c>
      <c r="I466" s="7" t="s">
        <v>6</v>
      </c>
      <c r="K466" s="1"/>
      <c r="L466" s="1"/>
    </row>
    <row r="467" spans="1:12" customFormat="1" x14ac:dyDescent="0.2">
      <c r="A467" s="9" t="s">
        <v>2790</v>
      </c>
      <c r="B467" s="8" t="s">
        <v>103</v>
      </c>
      <c r="C467" s="8">
        <v>7800</v>
      </c>
      <c r="D467" s="69" t="s">
        <v>102</v>
      </c>
      <c r="E467" s="8">
        <v>228.2089</v>
      </c>
      <c r="F467" s="8" t="s">
        <v>1</v>
      </c>
      <c r="G467" s="8" t="s">
        <v>1</v>
      </c>
      <c r="H467" s="8" t="s">
        <v>1</v>
      </c>
      <c r="I467" s="7" t="s">
        <v>6</v>
      </c>
      <c r="K467" s="1"/>
      <c r="L467" s="1"/>
    </row>
    <row r="468" spans="1:12" customFormat="1" x14ac:dyDescent="0.2">
      <c r="A468" s="9" t="s">
        <v>2979</v>
      </c>
      <c r="B468" s="8" t="s">
        <v>101</v>
      </c>
      <c r="C468" s="8">
        <v>637566</v>
      </c>
      <c r="D468" s="69" t="s">
        <v>73</v>
      </c>
      <c r="E468" s="8">
        <v>154.13576</v>
      </c>
      <c r="F468" s="8" t="s">
        <v>1</v>
      </c>
      <c r="G468" s="8" t="s">
        <v>1</v>
      </c>
      <c r="H468" s="8" t="s">
        <v>1</v>
      </c>
      <c r="I468" s="7" t="s">
        <v>66</v>
      </c>
      <c r="K468" s="1"/>
      <c r="L468" s="1"/>
    </row>
    <row r="469" spans="1:12" customFormat="1" x14ac:dyDescent="0.2">
      <c r="A469" s="9" t="s">
        <v>3065</v>
      </c>
      <c r="B469" s="8" t="s">
        <v>100</v>
      </c>
      <c r="C469" s="8">
        <v>8369</v>
      </c>
      <c r="D469" s="69" t="s">
        <v>99</v>
      </c>
      <c r="E469" s="8">
        <v>126.0317</v>
      </c>
      <c r="F469" s="8" t="s">
        <v>1</v>
      </c>
      <c r="G469" s="8" t="s">
        <v>1</v>
      </c>
      <c r="H469" s="8" t="s">
        <v>1</v>
      </c>
      <c r="I469" s="7" t="s">
        <v>77</v>
      </c>
      <c r="K469" s="1"/>
      <c r="L469" s="1"/>
    </row>
    <row r="470" spans="1:12" customFormat="1" x14ac:dyDescent="0.2">
      <c r="A470" s="9" t="s">
        <v>983</v>
      </c>
      <c r="B470" s="8" t="s">
        <v>98</v>
      </c>
      <c r="C470" s="8">
        <v>19309</v>
      </c>
      <c r="D470" s="69" t="s">
        <v>97</v>
      </c>
      <c r="E470" s="8">
        <v>128.04730000000001</v>
      </c>
      <c r="F470" s="8" t="s">
        <v>1</v>
      </c>
      <c r="G470" s="8" t="s">
        <v>1</v>
      </c>
      <c r="H470" s="8" t="s">
        <v>1</v>
      </c>
      <c r="I470" s="7" t="s">
        <v>96</v>
      </c>
      <c r="K470" s="1"/>
      <c r="L470" s="1"/>
    </row>
    <row r="471" spans="1:12" customFormat="1" x14ac:dyDescent="0.2">
      <c r="A471" s="9" t="s">
        <v>1191</v>
      </c>
      <c r="B471" s="8" t="s">
        <v>95</v>
      </c>
      <c r="C471" s="8">
        <v>7888</v>
      </c>
      <c r="D471" s="69" t="s">
        <v>94</v>
      </c>
      <c r="E471" s="8">
        <v>172.1463</v>
      </c>
      <c r="F471" s="8" t="s">
        <v>1</v>
      </c>
      <c r="G471" s="8" t="s">
        <v>1</v>
      </c>
      <c r="H471" s="8" t="s">
        <v>1</v>
      </c>
      <c r="I471" s="7" t="s">
        <v>59</v>
      </c>
      <c r="K471" s="1"/>
      <c r="L471" s="1"/>
    </row>
    <row r="472" spans="1:12" customFormat="1" x14ac:dyDescent="0.2">
      <c r="A472" s="9" t="s">
        <v>2788</v>
      </c>
      <c r="B472" s="8" t="s">
        <v>93</v>
      </c>
      <c r="C472" s="8">
        <v>12327</v>
      </c>
      <c r="D472" s="69" t="s">
        <v>92</v>
      </c>
      <c r="E472" s="8">
        <v>214.19329999999999</v>
      </c>
      <c r="F472" s="8" t="s">
        <v>1</v>
      </c>
      <c r="G472" s="8" t="s">
        <v>1</v>
      </c>
      <c r="H472" s="8" t="s">
        <v>1</v>
      </c>
      <c r="I472" s="7" t="s">
        <v>6</v>
      </c>
      <c r="K472" s="1"/>
      <c r="L472" s="1"/>
    </row>
    <row r="473" spans="1:12" customFormat="1" x14ac:dyDescent="0.2">
      <c r="A473" s="9" t="s">
        <v>1177</v>
      </c>
      <c r="B473" s="8" t="s">
        <v>91</v>
      </c>
      <c r="C473" s="8">
        <v>7797</v>
      </c>
      <c r="D473" s="69" t="s">
        <v>90</v>
      </c>
      <c r="E473" s="8">
        <v>158.13069999999999</v>
      </c>
      <c r="F473" s="8" t="s">
        <v>1</v>
      </c>
      <c r="G473" s="8" t="s">
        <v>1</v>
      </c>
      <c r="H473" s="8" t="s">
        <v>1</v>
      </c>
      <c r="I473" s="7" t="s">
        <v>6</v>
      </c>
      <c r="K473" s="1"/>
      <c r="L473" s="1"/>
    </row>
    <row r="474" spans="1:12" customFormat="1" x14ac:dyDescent="0.2">
      <c r="A474" s="9" t="s">
        <v>2974</v>
      </c>
      <c r="B474" s="8" t="s">
        <v>89</v>
      </c>
      <c r="C474" s="8">
        <v>5282110</v>
      </c>
      <c r="D474" s="69" t="s">
        <v>88</v>
      </c>
      <c r="E474" s="8">
        <v>176.08369999999999</v>
      </c>
      <c r="F474" s="8" t="s">
        <v>1</v>
      </c>
      <c r="G474" s="8" t="s">
        <v>1</v>
      </c>
      <c r="H474" s="8" t="s">
        <v>1</v>
      </c>
      <c r="I474" s="7" t="s">
        <v>0</v>
      </c>
      <c r="K474" s="1"/>
      <c r="L474" s="1"/>
    </row>
    <row r="475" spans="1:12" customFormat="1" x14ac:dyDescent="0.2">
      <c r="A475" s="9" t="s">
        <v>2772</v>
      </c>
      <c r="B475" s="8" t="s">
        <v>87</v>
      </c>
      <c r="C475" s="8">
        <v>7749</v>
      </c>
      <c r="D475" s="69" t="s">
        <v>86</v>
      </c>
      <c r="E475" s="8">
        <v>102.0681</v>
      </c>
      <c r="F475" s="8" t="s">
        <v>1</v>
      </c>
      <c r="G475" s="8" t="s">
        <v>1</v>
      </c>
      <c r="H475" s="8" t="s">
        <v>1</v>
      </c>
      <c r="I475" s="7" t="s">
        <v>85</v>
      </c>
      <c r="K475" s="1"/>
      <c r="L475" s="1"/>
    </row>
    <row r="476" spans="1:12" customFormat="1" x14ac:dyDescent="0.2">
      <c r="A476" s="9" t="s">
        <v>1174</v>
      </c>
      <c r="B476" s="8" t="s">
        <v>84</v>
      </c>
      <c r="C476" s="8">
        <v>31265</v>
      </c>
      <c r="D476" s="69" t="s">
        <v>83</v>
      </c>
      <c r="E476" s="8">
        <v>144.11500000000001</v>
      </c>
      <c r="F476" s="8" t="s">
        <v>1</v>
      </c>
      <c r="G476" s="8" t="s">
        <v>1</v>
      </c>
      <c r="H476" s="8" t="s">
        <v>1</v>
      </c>
      <c r="I476" s="7" t="s">
        <v>6</v>
      </c>
      <c r="K476" s="1"/>
      <c r="L476" s="1"/>
    </row>
    <row r="477" spans="1:12" customFormat="1" x14ac:dyDescent="0.2">
      <c r="A477" s="9" t="s">
        <v>1185</v>
      </c>
      <c r="B477" s="8" t="s">
        <v>82</v>
      </c>
      <c r="C477" s="8">
        <v>10882</v>
      </c>
      <c r="D477" s="69" t="s">
        <v>81</v>
      </c>
      <c r="E477" s="8">
        <v>130.0994</v>
      </c>
      <c r="F477" s="8" t="s">
        <v>1</v>
      </c>
      <c r="G477" s="8" t="s">
        <v>1</v>
      </c>
      <c r="H477" s="8" t="s">
        <v>1</v>
      </c>
      <c r="I477" s="7" t="s">
        <v>6</v>
      </c>
      <c r="K477" s="1"/>
      <c r="L477" s="1"/>
    </row>
    <row r="478" spans="1:12" customFormat="1" x14ac:dyDescent="0.2">
      <c r="A478" s="9" t="s">
        <v>1186</v>
      </c>
      <c r="B478" s="8" t="s">
        <v>80</v>
      </c>
      <c r="C478" s="8">
        <v>8467</v>
      </c>
      <c r="D478" s="69" t="s">
        <v>19</v>
      </c>
      <c r="E478" s="8">
        <v>166.06299999999999</v>
      </c>
      <c r="F478" s="8" t="s">
        <v>1</v>
      </c>
      <c r="G478" s="8" t="s">
        <v>1</v>
      </c>
      <c r="H478" s="8" t="s">
        <v>1</v>
      </c>
      <c r="I478" s="7" t="s">
        <v>59</v>
      </c>
      <c r="K478" s="1"/>
      <c r="L478" s="1"/>
    </row>
    <row r="479" spans="1:12" customFormat="1" x14ac:dyDescent="0.2">
      <c r="A479" s="9" t="s">
        <v>1179</v>
      </c>
      <c r="B479" s="8" t="s">
        <v>79</v>
      </c>
      <c r="C479" s="8">
        <v>21059</v>
      </c>
      <c r="D479" s="69" t="s">
        <v>78</v>
      </c>
      <c r="E479" s="8">
        <v>140.04730000000001</v>
      </c>
      <c r="F479" s="8" t="s">
        <v>1</v>
      </c>
      <c r="G479" s="8" t="s">
        <v>1</v>
      </c>
      <c r="H479" s="8" t="s">
        <v>1</v>
      </c>
      <c r="I479" s="7" t="s">
        <v>77</v>
      </c>
      <c r="K479" s="1"/>
      <c r="L479" s="1"/>
    </row>
    <row r="480" spans="1:12" customFormat="1" x14ac:dyDescent="0.2">
      <c r="A480" s="9" t="s">
        <v>3376</v>
      </c>
      <c r="B480" s="8" t="s">
        <v>76</v>
      </c>
      <c r="C480" s="8">
        <v>16666</v>
      </c>
      <c r="D480" s="69" t="s">
        <v>75</v>
      </c>
      <c r="E480" s="8">
        <v>156.1514</v>
      </c>
      <c r="F480" s="8" t="s">
        <v>1</v>
      </c>
      <c r="G480" s="8" t="s">
        <v>1</v>
      </c>
      <c r="H480" s="8" t="s">
        <v>1</v>
      </c>
      <c r="I480" s="7" t="s">
        <v>66</v>
      </c>
      <c r="K480" s="1"/>
      <c r="L480" s="1"/>
    </row>
    <row r="481" spans="1:12" customFormat="1" x14ac:dyDescent="0.2">
      <c r="A481" s="9" t="s">
        <v>3276</v>
      </c>
      <c r="B481" s="8" t="s">
        <v>74</v>
      </c>
      <c r="C481" s="8">
        <v>2758</v>
      </c>
      <c r="D481" s="69" t="s">
        <v>73</v>
      </c>
      <c r="E481" s="8">
        <v>154.13576</v>
      </c>
      <c r="F481" s="8" t="s">
        <v>1</v>
      </c>
      <c r="G481" s="8" t="s">
        <v>1</v>
      </c>
      <c r="H481" s="8" t="s">
        <v>1</v>
      </c>
      <c r="I481" s="7" t="s">
        <v>72</v>
      </c>
      <c r="K481" s="1"/>
      <c r="L481" s="1"/>
    </row>
    <row r="482" spans="1:12" customFormat="1" x14ac:dyDescent="0.2">
      <c r="A482" s="9" t="s">
        <v>1204</v>
      </c>
      <c r="B482" s="8" t="s">
        <v>71</v>
      </c>
      <c r="C482" s="8">
        <v>1183</v>
      </c>
      <c r="D482" s="69" t="s">
        <v>31</v>
      </c>
      <c r="E482" s="8">
        <v>152.04730000000001</v>
      </c>
      <c r="F482" s="8" t="s">
        <v>1</v>
      </c>
      <c r="G482" s="8" t="s">
        <v>1</v>
      </c>
      <c r="H482" s="8" t="s">
        <v>1</v>
      </c>
      <c r="I482" s="7" t="s">
        <v>14</v>
      </c>
      <c r="K482" s="1"/>
      <c r="L482" s="1"/>
    </row>
    <row r="483" spans="1:12" customFormat="1" x14ac:dyDescent="0.2">
      <c r="A483" s="9" t="s">
        <v>1200</v>
      </c>
      <c r="B483" s="8" t="s">
        <v>70</v>
      </c>
      <c r="C483" s="8">
        <v>5144</v>
      </c>
      <c r="D483" s="69" t="s">
        <v>64</v>
      </c>
      <c r="E483" s="8">
        <v>162.06809999999999</v>
      </c>
      <c r="F483" s="8" t="s">
        <v>1</v>
      </c>
      <c r="G483" s="8" t="s">
        <v>1</v>
      </c>
      <c r="H483" s="8" t="s">
        <v>69</v>
      </c>
      <c r="I483" s="7" t="s">
        <v>63</v>
      </c>
      <c r="K483" s="1"/>
      <c r="L483" s="1"/>
    </row>
    <row r="484" spans="1:12" customFormat="1" x14ac:dyDescent="0.2">
      <c r="A484" s="9" t="s">
        <v>2982</v>
      </c>
      <c r="B484" s="8" t="s">
        <v>68</v>
      </c>
      <c r="C484" s="8">
        <v>440917</v>
      </c>
      <c r="D484" s="69" t="s">
        <v>67</v>
      </c>
      <c r="E484" s="8">
        <v>136.12520000000001</v>
      </c>
      <c r="F484" s="8" t="s">
        <v>1</v>
      </c>
      <c r="G484" s="8" t="s">
        <v>1</v>
      </c>
      <c r="H484" s="8">
        <v>3</v>
      </c>
      <c r="I484" s="7" t="s">
        <v>66</v>
      </c>
      <c r="K484" s="1"/>
      <c r="L484" s="1"/>
    </row>
    <row r="485" spans="1:12" customFormat="1" x14ac:dyDescent="0.2">
      <c r="A485" s="9" t="s">
        <v>1193</v>
      </c>
      <c r="B485" s="8" t="s">
        <v>65</v>
      </c>
      <c r="C485" s="8">
        <v>637796</v>
      </c>
      <c r="D485" s="69" t="s">
        <v>64</v>
      </c>
      <c r="E485" s="8">
        <v>162.06809999999999</v>
      </c>
      <c r="F485" s="8" t="s">
        <v>1</v>
      </c>
      <c r="G485" s="8" t="s">
        <v>1</v>
      </c>
      <c r="H485" s="8">
        <v>3</v>
      </c>
      <c r="I485" s="7" t="s">
        <v>63</v>
      </c>
      <c r="K485" s="1"/>
      <c r="L485" s="1"/>
    </row>
    <row r="486" spans="1:12" customFormat="1" x14ac:dyDescent="0.2">
      <c r="A486" s="12" t="s">
        <v>62</v>
      </c>
      <c r="B486" s="8" t="s">
        <v>17</v>
      </c>
      <c r="C486" s="8" t="s">
        <v>17</v>
      </c>
      <c r="D486" s="69" t="s">
        <v>17</v>
      </c>
      <c r="E486" s="10" t="s">
        <v>17</v>
      </c>
      <c r="F486" s="8" t="s">
        <v>17</v>
      </c>
      <c r="G486" s="8" t="s">
        <v>17</v>
      </c>
      <c r="H486" s="8" t="s">
        <v>17</v>
      </c>
      <c r="I486" s="7" t="s">
        <v>17</v>
      </c>
      <c r="K486" s="1"/>
      <c r="L486" s="1"/>
    </row>
    <row r="487" spans="1:12" customFormat="1" x14ac:dyDescent="0.2">
      <c r="A487" s="9" t="s">
        <v>3070</v>
      </c>
      <c r="B487" s="8" t="s">
        <v>61</v>
      </c>
      <c r="C487" s="8">
        <v>753</v>
      </c>
      <c r="D487" s="69" t="s">
        <v>60</v>
      </c>
      <c r="E487" s="8">
        <v>92.047300000000007</v>
      </c>
      <c r="F487" s="8" t="s">
        <v>1</v>
      </c>
      <c r="G487" s="8" t="s">
        <v>9</v>
      </c>
      <c r="H487" s="8" t="s">
        <v>1</v>
      </c>
      <c r="I487" s="7" t="s">
        <v>59</v>
      </c>
      <c r="K487" s="1"/>
      <c r="L487" s="1"/>
    </row>
    <row r="488" spans="1:12" customFormat="1" x14ac:dyDescent="0.2">
      <c r="A488" s="12" t="s">
        <v>58</v>
      </c>
      <c r="B488" s="8" t="s">
        <v>17</v>
      </c>
      <c r="C488" s="8" t="s">
        <v>17</v>
      </c>
      <c r="D488" s="69" t="s">
        <v>17</v>
      </c>
      <c r="E488" s="10" t="s">
        <v>17</v>
      </c>
      <c r="F488" s="8" t="s">
        <v>17</v>
      </c>
      <c r="G488" s="8" t="s">
        <v>17</v>
      </c>
      <c r="H488" s="8" t="s">
        <v>17</v>
      </c>
      <c r="I488" s="7" t="s">
        <v>17</v>
      </c>
      <c r="K488" s="1"/>
      <c r="L488" s="1"/>
    </row>
    <row r="489" spans="1:12" customFormat="1" x14ac:dyDescent="0.2">
      <c r="A489" s="9" t="s">
        <v>947</v>
      </c>
      <c r="B489" s="8" t="s">
        <v>57</v>
      </c>
      <c r="C489" s="8">
        <v>42851</v>
      </c>
      <c r="D489" s="69" t="s">
        <v>56</v>
      </c>
      <c r="E489" s="8">
        <v>277.20420000000001</v>
      </c>
      <c r="F489" s="8" t="s">
        <v>9</v>
      </c>
      <c r="G489" s="8" t="s">
        <v>9</v>
      </c>
      <c r="H489" s="8" t="s">
        <v>1</v>
      </c>
      <c r="I489" s="7" t="s">
        <v>0</v>
      </c>
      <c r="K489" s="1"/>
      <c r="L489" s="1"/>
    </row>
    <row r="490" spans="1:12" customFormat="1" x14ac:dyDescent="0.2">
      <c r="A490" s="9" t="s">
        <v>2461</v>
      </c>
      <c r="B490" s="8" t="s">
        <v>55</v>
      </c>
      <c r="C490" s="8">
        <v>8362</v>
      </c>
      <c r="D490" s="69" t="s">
        <v>54</v>
      </c>
      <c r="E490" s="8">
        <v>262.15699999999998</v>
      </c>
      <c r="F490" s="8" t="s">
        <v>9</v>
      </c>
      <c r="G490" s="8" t="s">
        <v>1</v>
      </c>
      <c r="H490" s="8" t="s">
        <v>1</v>
      </c>
      <c r="I490" s="7" t="s">
        <v>0</v>
      </c>
      <c r="K490" s="1"/>
      <c r="L490" s="1"/>
    </row>
    <row r="491" spans="1:12" customFormat="1" x14ac:dyDescent="0.2">
      <c r="A491" s="9" t="s">
        <v>2465</v>
      </c>
      <c r="B491" s="8" t="s">
        <v>53</v>
      </c>
      <c r="C491" s="8">
        <v>5355130</v>
      </c>
      <c r="D491" s="69" t="s">
        <v>52</v>
      </c>
      <c r="E491" s="8">
        <v>290.18799999999999</v>
      </c>
      <c r="F491" s="8" t="s">
        <v>9</v>
      </c>
      <c r="G491" s="8" t="s">
        <v>1</v>
      </c>
      <c r="H491" s="8" t="s">
        <v>1</v>
      </c>
      <c r="I491" s="7" t="s">
        <v>51</v>
      </c>
      <c r="K491" s="1"/>
      <c r="L491" s="1"/>
    </row>
    <row r="492" spans="1:12" customFormat="1" x14ac:dyDescent="0.2">
      <c r="A492" s="9" t="s">
        <v>3262</v>
      </c>
      <c r="B492" s="8" t="s">
        <v>50</v>
      </c>
      <c r="C492" s="8">
        <v>4632</v>
      </c>
      <c r="D492" s="69" t="s">
        <v>27</v>
      </c>
      <c r="E492" s="8">
        <v>228.07859999999999</v>
      </c>
      <c r="F492" s="8" t="s">
        <v>9</v>
      </c>
      <c r="G492" s="8" t="s">
        <v>1</v>
      </c>
      <c r="H492" s="8" t="s">
        <v>1</v>
      </c>
      <c r="I492" s="7" t="s">
        <v>0</v>
      </c>
      <c r="K492" s="1"/>
      <c r="L492" s="1"/>
    </row>
    <row r="493" spans="1:12" customFormat="1" x14ac:dyDescent="0.2">
      <c r="A493" s="9" t="s">
        <v>2442</v>
      </c>
      <c r="B493" s="8" t="s">
        <v>49</v>
      </c>
      <c r="C493" s="8">
        <v>51040</v>
      </c>
      <c r="D493" s="69" t="s">
        <v>48</v>
      </c>
      <c r="E493" s="8">
        <v>310.15690000000001</v>
      </c>
      <c r="F493" s="8" t="s">
        <v>1</v>
      </c>
      <c r="G493" s="8" t="s">
        <v>1</v>
      </c>
      <c r="H493" s="8" t="s">
        <v>1</v>
      </c>
      <c r="I493" s="7" t="s">
        <v>47</v>
      </c>
      <c r="K493" s="1"/>
      <c r="L493" s="1"/>
    </row>
    <row r="494" spans="1:12" customFormat="1" x14ac:dyDescent="0.2">
      <c r="A494" s="12" t="s">
        <v>46</v>
      </c>
      <c r="B494" s="8" t="s">
        <v>17</v>
      </c>
      <c r="C494" s="8" t="s">
        <v>17</v>
      </c>
      <c r="D494" s="69" t="s">
        <v>17</v>
      </c>
      <c r="E494" s="10" t="s">
        <v>17</v>
      </c>
      <c r="F494" s="8" t="s">
        <v>17</v>
      </c>
      <c r="G494" s="8" t="s">
        <v>17</v>
      </c>
      <c r="H494" s="8" t="s">
        <v>17</v>
      </c>
      <c r="I494" s="7" t="s">
        <v>17</v>
      </c>
      <c r="K494" s="1"/>
      <c r="L494" s="1"/>
    </row>
    <row r="495" spans="1:12" customFormat="1" x14ac:dyDescent="0.2">
      <c r="A495" s="9" t="s">
        <v>1368</v>
      </c>
      <c r="B495" s="8" t="s">
        <v>45</v>
      </c>
      <c r="C495" s="8">
        <v>4754</v>
      </c>
      <c r="D495" s="69" t="s">
        <v>44</v>
      </c>
      <c r="E495" s="8">
        <v>179.09460000000001</v>
      </c>
      <c r="F495" s="8" t="s">
        <v>1</v>
      </c>
      <c r="G495" s="8" t="s">
        <v>1</v>
      </c>
      <c r="H495" s="8">
        <v>1</v>
      </c>
      <c r="I495" s="7" t="s">
        <v>0</v>
      </c>
      <c r="K495" s="1"/>
      <c r="L495" s="1"/>
    </row>
    <row r="496" spans="1:12" customFormat="1" x14ac:dyDescent="0.2">
      <c r="A496" s="9" t="s">
        <v>2844</v>
      </c>
      <c r="B496" s="8" t="s">
        <v>43</v>
      </c>
      <c r="C496" s="8">
        <v>4098</v>
      </c>
      <c r="D496" s="69" t="s">
        <v>42</v>
      </c>
      <c r="E496" s="8">
        <v>261.13</v>
      </c>
      <c r="F496" s="8" t="s">
        <v>1</v>
      </c>
      <c r="G496" s="8" t="s">
        <v>1</v>
      </c>
      <c r="H496" s="8" t="s">
        <v>1</v>
      </c>
      <c r="I496" s="7" t="s">
        <v>41</v>
      </c>
      <c r="K496" s="1"/>
      <c r="L496" s="1"/>
    </row>
    <row r="497" spans="1:12" customFormat="1" x14ac:dyDescent="0.2">
      <c r="A497" s="9" t="s">
        <v>3374</v>
      </c>
      <c r="B497" s="8" t="s">
        <v>40</v>
      </c>
      <c r="C497" s="8">
        <v>942</v>
      </c>
      <c r="D497" s="69" t="s">
        <v>39</v>
      </c>
      <c r="E497" s="8">
        <v>162.1157</v>
      </c>
      <c r="F497" s="8" t="s">
        <v>1</v>
      </c>
      <c r="G497" s="8" t="s">
        <v>1</v>
      </c>
      <c r="H497" s="8" t="s">
        <v>1</v>
      </c>
      <c r="I497" s="7" t="s">
        <v>38</v>
      </c>
      <c r="K497" s="1"/>
      <c r="L497" s="1"/>
    </row>
    <row r="498" spans="1:12" customFormat="1" x14ac:dyDescent="0.2">
      <c r="A498" s="9" t="s">
        <v>1362</v>
      </c>
      <c r="B498" s="8" t="s">
        <v>37</v>
      </c>
      <c r="C498" s="8">
        <v>2519</v>
      </c>
      <c r="D498" s="69" t="s">
        <v>36</v>
      </c>
      <c r="E498" s="8">
        <v>194.0804</v>
      </c>
      <c r="F498" s="8" t="s">
        <v>9</v>
      </c>
      <c r="G498" s="8" t="s">
        <v>1</v>
      </c>
      <c r="H498" s="8">
        <v>3</v>
      </c>
      <c r="I498" s="7" t="s">
        <v>35</v>
      </c>
      <c r="K498" s="1"/>
      <c r="L498" s="1"/>
    </row>
    <row r="499" spans="1:12" customFormat="1" x14ac:dyDescent="0.2">
      <c r="A499" s="12" t="s">
        <v>34</v>
      </c>
      <c r="B499" s="8" t="s">
        <v>17</v>
      </c>
      <c r="C499" s="8" t="s">
        <v>17</v>
      </c>
      <c r="D499" s="69" t="s">
        <v>17</v>
      </c>
      <c r="E499" s="10" t="s">
        <v>17</v>
      </c>
      <c r="F499" s="8" t="s">
        <v>17</v>
      </c>
      <c r="G499" s="8" t="s">
        <v>17</v>
      </c>
      <c r="H499" s="8" t="s">
        <v>17</v>
      </c>
      <c r="I499" s="7" t="s">
        <v>17</v>
      </c>
      <c r="K499" s="1"/>
      <c r="L499" s="1"/>
    </row>
    <row r="500" spans="1:12" customFormat="1" x14ac:dyDescent="0.2">
      <c r="A500" s="11" t="s">
        <v>33</v>
      </c>
      <c r="B500" s="8" t="s">
        <v>17</v>
      </c>
      <c r="C500" s="8" t="s">
        <v>17</v>
      </c>
      <c r="D500" s="69" t="s">
        <v>17</v>
      </c>
      <c r="E500" s="10" t="s">
        <v>17</v>
      </c>
      <c r="F500" s="8" t="s">
        <v>17</v>
      </c>
      <c r="G500" s="8" t="s">
        <v>17</v>
      </c>
      <c r="H500" s="8" t="s">
        <v>17</v>
      </c>
      <c r="I500" s="7" t="s">
        <v>17</v>
      </c>
      <c r="K500" s="1"/>
      <c r="L500" s="1"/>
    </row>
    <row r="501" spans="1:12" customFormat="1" x14ac:dyDescent="0.2">
      <c r="A501" s="9" t="s">
        <v>1431</v>
      </c>
      <c r="B501" s="8" t="s">
        <v>32</v>
      </c>
      <c r="C501" s="8">
        <v>7456</v>
      </c>
      <c r="D501" s="69" t="s">
        <v>31</v>
      </c>
      <c r="E501" s="8">
        <v>152.04730000000001</v>
      </c>
      <c r="F501" s="8" t="s">
        <v>9</v>
      </c>
      <c r="G501" s="8" t="s">
        <v>9</v>
      </c>
      <c r="H501" s="8" t="s">
        <v>1</v>
      </c>
      <c r="I501" s="7" t="s">
        <v>0</v>
      </c>
      <c r="K501" s="1"/>
      <c r="L501" s="1"/>
    </row>
    <row r="502" spans="1:12" customFormat="1" x14ac:dyDescent="0.2">
      <c r="A502" s="9" t="s">
        <v>3157</v>
      </c>
      <c r="B502" s="8" t="s">
        <v>30</v>
      </c>
      <c r="C502" s="8">
        <v>14138</v>
      </c>
      <c r="D502" s="69" t="s">
        <v>29</v>
      </c>
      <c r="E502" s="8">
        <v>236.1412</v>
      </c>
      <c r="F502" s="8" t="s">
        <v>9</v>
      </c>
      <c r="G502" s="8" t="s">
        <v>1</v>
      </c>
      <c r="H502" s="8" t="s">
        <v>1</v>
      </c>
      <c r="I502" s="7" t="s">
        <v>0</v>
      </c>
      <c r="K502" s="1"/>
      <c r="L502" s="1"/>
    </row>
    <row r="503" spans="1:12" customFormat="1" x14ac:dyDescent="0.2">
      <c r="A503" s="9" t="s">
        <v>3159</v>
      </c>
      <c r="B503" s="8" t="s">
        <v>28</v>
      </c>
      <c r="C503" s="8">
        <v>7180</v>
      </c>
      <c r="D503" s="69" t="s">
        <v>27</v>
      </c>
      <c r="E503" s="8">
        <v>228.07859999999999</v>
      </c>
      <c r="F503" s="8" t="s">
        <v>9</v>
      </c>
      <c r="G503" s="8" t="s">
        <v>1</v>
      </c>
      <c r="H503" s="8" t="s">
        <v>1</v>
      </c>
      <c r="I503" s="7" t="s">
        <v>0</v>
      </c>
      <c r="K503" s="1"/>
      <c r="L503" s="1"/>
    </row>
    <row r="504" spans="1:12" customFormat="1" x14ac:dyDescent="0.2">
      <c r="A504" s="9" t="s">
        <v>3152</v>
      </c>
      <c r="B504" s="8" t="s">
        <v>26</v>
      </c>
      <c r="C504" s="8">
        <v>7184</v>
      </c>
      <c r="D504" s="69" t="s">
        <v>23</v>
      </c>
      <c r="E504" s="8">
        <v>194.0943</v>
      </c>
      <c r="F504" s="8" t="s">
        <v>9</v>
      </c>
      <c r="G504" s="8" t="s">
        <v>1</v>
      </c>
      <c r="H504" s="8" t="s">
        <v>1</v>
      </c>
      <c r="I504" s="7" t="s">
        <v>0</v>
      </c>
      <c r="K504" s="1"/>
      <c r="L504" s="1"/>
    </row>
    <row r="505" spans="1:12" customFormat="1" x14ac:dyDescent="0.2">
      <c r="A505" s="9" t="s">
        <v>1429</v>
      </c>
      <c r="B505" s="8" t="s">
        <v>25</v>
      </c>
      <c r="C505" s="8">
        <v>20161</v>
      </c>
      <c r="D505" s="69" t="s">
        <v>21</v>
      </c>
      <c r="E505" s="8">
        <v>180.07859999999999</v>
      </c>
      <c r="F505" s="8" t="s">
        <v>9</v>
      </c>
      <c r="G505" s="8" t="s">
        <v>1</v>
      </c>
      <c r="H505" s="8" t="s">
        <v>1</v>
      </c>
      <c r="I505" s="7" t="s">
        <v>0</v>
      </c>
      <c r="K505" s="1"/>
      <c r="L505" s="1"/>
    </row>
    <row r="506" spans="1:12" customFormat="1" x14ac:dyDescent="0.2">
      <c r="A506" s="9" t="s">
        <v>1427</v>
      </c>
      <c r="B506" s="8" t="s">
        <v>24</v>
      </c>
      <c r="C506" s="8">
        <v>20240</v>
      </c>
      <c r="D506" s="69" t="s">
        <v>23</v>
      </c>
      <c r="E506" s="8">
        <v>194.09399999999999</v>
      </c>
      <c r="F506" s="8" t="s">
        <v>9</v>
      </c>
      <c r="G506" s="8" t="s">
        <v>1</v>
      </c>
      <c r="H506" s="8" t="s">
        <v>1</v>
      </c>
      <c r="I506" s="7" t="s">
        <v>0</v>
      </c>
      <c r="K506" s="1"/>
      <c r="L506" s="1"/>
    </row>
    <row r="507" spans="1:12" customFormat="1" x14ac:dyDescent="0.2">
      <c r="A507" s="9" t="s">
        <v>3158</v>
      </c>
      <c r="B507" s="8" t="s">
        <v>22</v>
      </c>
      <c r="C507" s="8">
        <v>7175</v>
      </c>
      <c r="D507" s="69" t="s">
        <v>21</v>
      </c>
      <c r="E507" s="8">
        <v>180.07900000000001</v>
      </c>
      <c r="F507" s="8" t="s">
        <v>9</v>
      </c>
      <c r="G507" s="8" t="s">
        <v>1</v>
      </c>
      <c r="H507" s="8" t="s">
        <v>1</v>
      </c>
      <c r="I507" s="7" t="s">
        <v>0</v>
      </c>
      <c r="K507" s="1"/>
      <c r="L507" s="1"/>
    </row>
    <row r="508" spans="1:12" customFormat="1" x14ac:dyDescent="0.2">
      <c r="A508" s="9" t="s">
        <v>1425</v>
      </c>
      <c r="B508" s="8" t="s">
        <v>20</v>
      </c>
      <c r="C508" s="8">
        <v>8434</v>
      </c>
      <c r="D508" s="69" t="s">
        <v>19</v>
      </c>
      <c r="E508" s="8">
        <v>166.06299999999999</v>
      </c>
      <c r="F508" s="8" t="s">
        <v>9</v>
      </c>
      <c r="G508" s="8" t="s">
        <v>1</v>
      </c>
      <c r="H508" s="8" t="s">
        <v>1</v>
      </c>
      <c r="I508" s="7" t="s">
        <v>0</v>
      </c>
      <c r="K508" s="1"/>
      <c r="L508" s="1"/>
    </row>
    <row r="509" spans="1:12" customFormat="1" x14ac:dyDescent="0.2">
      <c r="A509" s="11" t="s">
        <v>18</v>
      </c>
      <c r="B509" s="8" t="s">
        <v>17</v>
      </c>
      <c r="C509" s="8" t="s">
        <v>17</v>
      </c>
      <c r="D509" s="69" t="s">
        <v>17</v>
      </c>
      <c r="E509" s="10" t="s">
        <v>17</v>
      </c>
      <c r="F509" s="8" t="s">
        <v>17</v>
      </c>
      <c r="G509" s="8" t="s">
        <v>17</v>
      </c>
      <c r="H509" s="8" t="s">
        <v>17</v>
      </c>
      <c r="I509" s="7" t="s">
        <v>17</v>
      </c>
      <c r="K509" s="1"/>
      <c r="L509" s="1"/>
    </row>
    <row r="510" spans="1:12" customFormat="1" x14ac:dyDescent="0.2">
      <c r="A510" s="9" t="s">
        <v>3199</v>
      </c>
      <c r="B510" s="8" t="s">
        <v>16</v>
      </c>
      <c r="C510" s="8">
        <v>1732</v>
      </c>
      <c r="D510" s="69" t="s">
        <v>15</v>
      </c>
      <c r="E510" s="8">
        <v>142.01849999999999</v>
      </c>
      <c r="F510" s="8" t="s">
        <v>9</v>
      </c>
      <c r="G510" s="8" t="s">
        <v>1</v>
      </c>
      <c r="H510" s="8" t="s">
        <v>1</v>
      </c>
      <c r="I510" s="7" t="s">
        <v>14</v>
      </c>
      <c r="K510" s="1"/>
      <c r="L510" s="1"/>
    </row>
    <row r="511" spans="1:12" customFormat="1" x14ac:dyDescent="0.2">
      <c r="A511" s="9" t="s">
        <v>1418</v>
      </c>
      <c r="B511" s="8" t="s">
        <v>13</v>
      </c>
      <c r="C511" s="8">
        <v>135</v>
      </c>
      <c r="D511" s="69" t="s">
        <v>12</v>
      </c>
      <c r="E511" s="8">
        <v>138.0317</v>
      </c>
      <c r="F511" s="8" t="s">
        <v>9</v>
      </c>
      <c r="G511" s="8" t="s">
        <v>1</v>
      </c>
      <c r="H511" s="8" t="s">
        <v>1</v>
      </c>
      <c r="I511" s="7" t="s">
        <v>0</v>
      </c>
      <c r="K511" s="1"/>
      <c r="L511" s="1"/>
    </row>
    <row r="512" spans="1:12" customFormat="1" x14ac:dyDescent="0.2">
      <c r="A512" s="9" t="s">
        <v>2498</v>
      </c>
      <c r="B512" s="8" t="s">
        <v>11</v>
      </c>
      <c r="C512" s="8">
        <v>5564</v>
      </c>
      <c r="D512" s="69" t="s">
        <v>10</v>
      </c>
      <c r="E512" s="8">
        <v>287.95119999999997</v>
      </c>
      <c r="F512" s="8" t="s">
        <v>9</v>
      </c>
      <c r="G512" s="8" t="s">
        <v>1</v>
      </c>
      <c r="H512" s="8" t="s">
        <v>1</v>
      </c>
      <c r="I512" s="7" t="s">
        <v>0</v>
      </c>
      <c r="K512" s="1"/>
      <c r="L512" s="1"/>
    </row>
    <row r="513" spans="1:12" customFormat="1" x14ac:dyDescent="0.2">
      <c r="A513" s="9" t="s">
        <v>3162</v>
      </c>
      <c r="B513" s="8" t="s">
        <v>8</v>
      </c>
      <c r="C513" s="8">
        <v>23676745</v>
      </c>
      <c r="D513" s="69" t="s">
        <v>7</v>
      </c>
      <c r="E513" s="8">
        <v>113.0609</v>
      </c>
      <c r="F513" s="8" t="s">
        <v>1</v>
      </c>
      <c r="G513" s="8" t="s">
        <v>1</v>
      </c>
      <c r="H513" s="8" t="s">
        <v>1</v>
      </c>
      <c r="I513" s="7" t="s">
        <v>6</v>
      </c>
      <c r="K513" s="1"/>
      <c r="L513" s="1"/>
    </row>
    <row r="514" spans="1:12" customFormat="1" x14ac:dyDescent="0.2">
      <c r="A514" s="9" t="s">
        <v>2281</v>
      </c>
      <c r="B514" s="8" t="s">
        <v>5</v>
      </c>
      <c r="C514" s="8">
        <v>244</v>
      </c>
      <c r="D514" s="69" t="s">
        <v>4</v>
      </c>
      <c r="E514" s="8">
        <v>108.0575</v>
      </c>
      <c r="F514" s="8" t="s">
        <v>1</v>
      </c>
      <c r="G514" s="8" t="s">
        <v>1</v>
      </c>
      <c r="H514" s="8" t="s">
        <v>1</v>
      </c>
      <c r="I514" s="7" t="s">
        <v>0</v>
      </c>
      <c r="K514" s="1"/>
      <c r="L514" s="1"/>
    </row>
    <row r="515" spans="1:12" customFormat="1" x14ac:dyDescent="0.2">
      <c r="A515" s="9" t="s">
        <v>1421</v>
      </c>
      <c r="B515" s="8" t="s">
        <v>3</v>
      </c>
      <c r="C515" s="8">
        <v>243</v>
      </c>
      <c r="D515" s="69" t="s">
        <v>2</v>
      </c>
      <c r="E515" s="8">
        <v>122.0368</v>
      </c>
      <c r="F515" s="8" t="s">
        <v>1</v>
      </c>
      <c r="G515" s="8" t="s">
        <v>1</v>
      </c>
      <c r="H515" s="8" t="s">
        <v>1</v>
      </c>
      <c r="I515" s="7" t="s">
        <v>0</v>
      </c>
      <c r="K515" s="1"/>
      <c r="L515" s="1"/>
    </row>
    <row r="528" spans="1:12" customFormat="1" x14ac:dyDescent="0.2">
      <c r="A528" s="6"/>
      <c r="B528" s="10"/>
      <c r="C528" s="10"/>
      <c r="D528" s="71"/>
      <c r="E528" s="3"/>
      <c r="F528" s="3"/>
      <c r="G528" s="3"/>
      <c r="H528" s="3"/>
      <c r="I528" s="3"/>
      <c r="K528" s="1"/>
      <c r="L528" s="1"/>
    </row>
    <row r="534" spans="1:12" s="4" customFormat="1" x14ac:dyDescent="0.2">
      <c r="A534" s="6"/>
      <c r="B534" s="10"/>
      <c r="C534" s="10"/>
      <c r="D534" s="71"/>
      <c r="E534" s="3"/>
      <c r="F534" s="3"/>
      <c r="G534" s="3"/>
      <c r="H534" s="3"/>
      <c r="I534" s="3"/>
      <c r="J534"/>
      <c r="K534" s="1"/>
      <c r="L534" s="1"/>
    </row>
    <row r="535" spans="1:12" s="4" customFormat="1" x14ac:dyDescent="0.2">
      <c r="A535" s="6"/>
      <c r="B535" s="10"/>
      <c r="C535" s="10"/>
      <c r="D535" s="71"/>
      <c r="E535" s="3"/>
      <c r="F535" s="3"/>
      <c r="G535" s="3"/>
      <c r="H535" s="3"/>
      <c r="I535" s="3"/>
      <c r="J535"/>
      <c r="K535" s="1"/>
      <c r="L5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3D4-698D-F747-9AC3-4B5D4FC80717}">
  <dimension ref="A1:J41"/>
  <sheetViews>
    <sheetView zoomScale="75" zoomScaleNormal="170" workbookViewId="0">
      <pane ySplit="1" topLeftCell="A2" activePane="bottomLeft" state="frozen"/>
      <selection pane="bottomLeft" activeCell="C29" sqref="C29"/>
    </sheetView>
  </sheetViews>
  <sheetFormatPr baseColWidth="10" defaultRowHeight="16" x14ac:dyDescent="0.2"/>
  <cols>
    <col min="1" max="1" width="10.5" bestFit="1" customWidth="1"/>
    <col min="2" max="2" width="27.6640625" bestFit="1" customWidth="1"/>
    <col min="3" max="3" width="38" bestFit="1" customWidth="1"/>
    <col min="4" max="4" width="10.5" customWidth="1"/>
    <col min="5" max="5" width="13.33203125" customWidth="1"/>
    <col min="6" max="6" width="12" customWidth="1"/>
    <col min="7" max="7" width="10.6640625" customWidth="1"/>
    <col min="8" max="8" width="13" bestFit="1" customWidth="1"/>
    <col min="9" max="9" width="61.33203125" bestFit="1" customWidth="1"/>
    <col min="10" max="10" width="14.83203125" bestFit="1" customWidth="1"/>
  </cols>
  <sheetData>
    <row r="1" spans="1:10" ht="34" x14ac:dyDescent="0.2">
      <c r="A1" s="37" t="s">
        <v>998</v>
      </c>
      <c r="B1" s="37" t="s">
        <v>1007</v>
      </c>
      <c r="C1" s="37" t="s">
        <v>1462</v>
      </c>
      <c r="D1" s="37" t="s">
        <v>1010</v>
      </c>
      <c r="E1" s="38" t="s">
        <v>1463</v>
      </c>
      <c r="F1" s="39" t="s">
        <v>1464</v>
      </c>
      <c r="G1" s="39" t="s">
        <v>1465</v>
      </c>
      <c r="H1" s="40" t="s">
        <v>1466</v>
      </c>
      <c r="I1" s="40" t="s">
        <v>1467</v>
      </c>
      <c r="J1" s="40" t="s">
        <v>1468</v>
      </c>
    </row>
    <row r="2" spans="1:10" x14ac:dyDescent="0.2">
      <c r="A2" s="41" t="s">
        <v>444</v>
      </c>
      <c r="B2" s="41" t="s">
        <v>1469</v>
      </c>
      <c r="C2" s="41" t="s">
        <v>1470</v>
      </c>
      <c r="D2" s="41">
        <v>3</v>
      </c>
      <c r="E2" s="41" t="s">
        <v>1471</v>
      </c>
      <c r="F2" s="41">
        <v>2100</v>
      </c>
      <c r="G2" s="41">
        <v>5300</v>
      </c>
      <c r="H2" s="42" t="s">
        <v>1472</v>
      </c>
      <c r="I2" s="43"/>
      <c r="J2" s="43"/>
    </row>
    <row r="3" spans="1:10" x14ac:dyDescent="0.2">
      <c r="A3" s="41" t="s">
        <v>464</v>
      </c>
      <c r="B3" s="41" t="s">
        <v>1074</v>
      </c>
      <c r="C3" s="41" t="s">
        <v>1470</v>
      </c>
      <c r="D3" s="41" t="s">
        <v>332</v>
      </c>
      <c r="E3" s="41" t="s">
        <v>1473</v>
      </c>
      <c r="F3" s="41">
        <v>2000</v>
      </c>
      <c r="G3" s="41">
        <v>696</v>
      </c>
      <c r="H3" s="42" t="s">
        <v>1474</v>
      </c>
      <c r="I3" s="43"/>
      <c r="J3" s="43"/>
    </row>
    <row r="4" spans="1:10" x14ac:dyDescent="0.2">
      <c r="A4" s="41" t="s">
        <v>455</v>
      </c>
      <c r="B4" s="41" t="s">
        <v>1076</v>
      </c>
      <c r="C4" s="41" t="s">
        <v>1470</v>
      </c>
      <c r="D4" s="41" t="s">
        <v>69</v>
      </c>
      <c r="E4" s="41" t="s">
        <v>1475</v>
      </c>
      <c r="F4" s="41">
        <v>975</v>
      </c>
      <c r="G4" s="41">
        <v>89</v>
      </c>
      <c r="H4" s="42" t="s">
        <v>1476</v>
      </c>
      <c r="I4" s="43"/>
      <c r="J4" s="43"/>
    </row>
    <row r="5" spans="1:10" x14ac:dyDescent="0.2">
      <c r="A5" s="41" t="s">
        <v>460</v>
      </c>
      <c r="B5" s="41" t="s">
        <v>1078</v>
      </c>
      <c r="C5" s="41" t="s">
        <v>1470</v>
      </c>
      <c r="D5" s="41" t="s">
        <v>69</v>
      </c>
      <c r="E5" s="41" t="s">
        <v>1477</v>
      </c>
      <c r="F5" s="41">
        <v>55</v>
      </c>
      <c r="G5" s="41">
        <v>1200</v>
      </c>
      <c r="H5" s="42" t="s">
        <v>1478</v>
      </c>
      <c r="I5" s="43"/>
      <c r="J5" s="43"/>
    </row>
    <row r="6" spans="1:10" x14ac:dyDescent="0.2">
      <c r="A6" s="41" t="s">
        <v>459</v>
      </c>
      <c r="B6" s="41" t="s">
        <v>1479</v>
      </c>
      <c r="C6" s="41" t="s">
        <v>1470</v>
      </c>
      <c r="D6" s="41" t="s">
        <v>69</v>
      </c>
      <c r="E6" s="41" t="s">
        <v>1480</v>
      </c>
      <c r="F6" s="41">
        <v>7</v>
      </c>
      <c r="G6" s="41">
        <v>957</v>
      </c>
      <c r="H6" s="42" t="s">
        <v>1481</v>
      </c>
      <c r="I6" s="43"/>
      <c r="J6" s="43"/>
    </row>
    <row r="7" spans="1:10" x14ac:dyDescent="0.2">
      <c r="A7" s="41" t="s">
        <v>461</v>
      </c>
      <c r="B7" s="41" t="s">
        <v>1482</v>
      </c>
      <c r="C7" s="41" t="s">
        <v>1470</v>
      </c>
      <c r="D7" s="41" t="s">
        <v>69</v>
      </c>
      <c r="E7" s="41" t="s">
        <v>1483</v>
      </c>
      <c r="F7" s="41">
        <v>15</v>
      </c>
      <c r="G7" s="41">
        <v>459</v>
      </c>
      <c r="H7" s="42" t="s">
        <v>1484</v>
      </c>
      <c r="I7" s="43"/>
      <c r="J7" s="44" t="s">
        <v>1485</v>
      </c>
    </row>
    <row r="8" spans="1:10" x14ac:dyDescent="0.2">
      <c r="A8" s="41" t="s">
        <v>473</v>
      </c>
      <c r="B8" s="41" t="s">
        <v>1486</v>
      </c>
      <c r="C8" s="41" t="s">
        <v>1470</v>
      </c>
      <c r="D8" s="41">
        <v>1</v>
      </c>
      <c r="E8" s="41" t="s">
        <v>1487</v>
      </c>
      <c r="F8" s="41">
        <v>18</v>
      </c>
      <c r="G8" s="41">
        <v>725</v>
      </c>
      <c r="H8" s="42" t="s">
        <v>1488</v>
      </c>
      <c r="I8" s="43"/>
      <c r="J8" s="43"/>
    </row>
    <row r="9" spans="1:10" x14ac:dyDescent="0.2">
      <c r="A9" s="41" t="s">
        <v>453</v>
      </c>
      <c r="B9" s="41" t="s">
        <v>1083</v>
      </c>
      <c r="C9" s="41" t="s">
        <v>1470</v>
      </c>
      <c r="D9" s="41" t="s">
        <v>69</v>
      </c>
      <c r="E9" s="41" t="s">
        <v>1489</v>
      </c>
      <c r="F9" s="41">
        <v>14</v>
      </c>
      <c r="G9" s="41">
        <v>16</v>
      </c>
      <c r="H9" s="42" t="s">
        <v>1490</v>
      </c>
      <c r="I9" s="43"/>
      <c r="J9" s="43"/>
    </row>
    <row r="10" spans="1:10" x14ac:dyDescent="0.2">
      <c r="A10" s="41" t="s">
        <v>466</v>
      </c>
      <c r="B10" s="41" t="s">
        <v>1491</v>
      </c>
      <c r="C10" s="41" t="s">
        <v>1470</v>
      </c>
      <c r="D10" s="41" t="s">
        <v>332</v>
      </c>
      <c r="E10" s="41" t="s">
        <v>1492</v>
      </c>
      <c r="F10" s="41">
        <v>1800</v>
      </c>
      <c r="G10" s="41">
        <v>14000</v>
      </c>
      <c r="H10" s="42" t="s">
        <v>1493</v>
      </c>
      <c r="I10" s="43"/>
      <c r="J10" s="43"/>
    </row>
    <row r="11" spans="1:10" x14ac:dyDescent="0.2">
      <c r="A11" s="41" t="s">
        <v>450</v>
      </c>
      <c r="B11" s="41" t="s">
        <v>1087</v>
      </c>
      <c r="C11" s="41" t="s">
        <v>1470</v>
      </c>
      <c r="D11" s="41">
        <v>3</v>
      </c>
      <c r="E11" s="41" t="s">
        <v>1494</v>
      </c>
      <c r="F11" s="41">
        <v>80</v>
      </c>
      <c r="G11" s="41">
        <v>212</v>
      </c>
      <c r="H11" s="42" t="s">
        <v>1495</v>
      </c>
      <c r="I11" s="43"/>
      <c r="J11" s="44" t="s">
        <v>1496</v>
      </c>
    </row>
    <row r="12" spans="1:10" x14ac:dyDescent="0.2">
      <c r="A12" s="41" t="s">
        <v>457</v>
      </c>
      <c r="B12" s="41" t="s">
        <v>1089</v>
      </c>
      <c r="C12" s="41" t="s">
        <v>1470</v>
      </c>
      <c r="D12" s="41" t="s">
        <v>69</v>
      </c>
      <c r="E12" s="41" t="s">
        <v>1497</v>
      </c>
      <c r="F12" s="41">
        <v>723</v>
      </c>
      <c r="G12" s="41">
        <v>908</v>
      </c>
      <c r="H12" s="42" t="s">
        <v>1498</v>
      </c>
      <c r="I12" s="43"/>
      <c r="J12" s="44" t="s">
        <v>1499</v>
      </c>
    </row>
    <row r="13" spans="1:10" x14ac:dyDescent="0.2">
      <c r="A13" s="41" t="s">
        <v>439</v>
      </c>
      <c r="B13" s="41" t="s">
        <v>1092</v>
      </c>
      <c r="C13" s="41" t="s">
        <v>1470</v>
      </c>
      <c r="D13" s="41">
        <v>3</v>
      </c>
      <c r="E13" s="41" t="s">
        <v>1500</v>
      </c>
      <c r="F13" s="41">
        <v>1100</v>
      </c>
      <c r="G13" s="41">
        <v>98</v>
      </c>
      <c r="H13" s="42" t="s">
        <v>1501</v>
      </c>
      <c r="I13" s="43"/>
      <c r="J13" s="44" t="s">
        <v>1502</v>
      </c>
    </row>
    <row r="14" spans="1:10" x14ac:dyDescent="0.2">
      <c r="A14" s="41" t="s">
        <v>449</v>
      </c>
      <c r="B14" s="41" t="s">
        <v>1094</v>
      </c>
      <c r="C14" s="41" t="s">
        <v>1470</v>
      </c>
      <c r="D14" s="41">
        <v>3</v>
      </c>
      <c r="E14" s="41" t="s">
        <v>1503</v>
      </c>
      <c r="F14" s="41">
        <v>35</v>
      </c>
      <c r="G14" s="41">
        <v>403</v>
      </c>
      <c r="H14" s="42" t="s">
        <v>1504</v>
      </c>
      <c r="I14" s="43"/>
      <c r="J14" s="44" t="s">
        <v>1505</v>
      </c>
    </row>
    <row r="15" spans="1:10" x14ac:dyDescent="0.2">
      <c r="A15" s="41" t="s">
        <v>426</v>
      </c>
      <c r="B15" s="41" t="s">
        <v>1506</v>
      </c>
      <c r="C15" s="41" t="s">
        <v>1099</v>
      </c>
      <c r="D15" s="41">
        <v>1</v>
      </c>
      <c r="E15" s="41" t="s">
        <v>1507</v>
      </c>
      <c r="F15" s="41">
        <v>928</v>
      </c>
      <c r="G15" s="41">
        <v>1800</v>
      </c>
      <c r="H15" s="41"/>
      <c r="I15" s="41"/>
      <c r="J15" s="43"/>
    </row>
    <row r="16" spans="1:10" x14ac:dyDescent="0.2">
      <c r="A16" s="41" t="s">
        <v>422</v>
      </c>
      <c r="B16" s="41" t="s">
        <v>1107</v>
      </c>
      <c r="C16" s="41" t="s">
        <v>1099</v>
      </c>
      <c r="D16" s="41">
        <v>1</v>
      </c>
      <c r="E16" s="41" t="s">
        <v>1508</v>
      </c>
      <c r="F16" s="41">
        <v>343</v>
      </c>
      <c r="G16" s="41">
        <v>37000</v>
      </c>
      <c r="H16" s="41"/>
      <c r="I16" s="45" t="s">
        <v>1509</v>
      </c>
      <c r="J16" s="43"/>
    </row>
    <row r="17" spans="1:10" x14ac:dyDescent="0.2">
      <c r="A17" s="41" t="s">
        <v>424</v>
      </c>
      <c r="B17" s="41" t="s">
        <v>1510</v>
      </c>
      <c r="C17" s="41" t="s">
        <v>1099</v>
      </c>
      <c r="D17" s="41">
        <v>1</v>
      </c>
      <c r="E17" s="41" t="s">
        <v>1511</v>
      </c>
      <c r="F17" s="41">
        <v>13</v>
      </c>
      <c r="G17" s="41">
        <v>100000</v>
      </c>
      <c r="H17" s="41"/>
      <c r="I17" s="43" t="s">
        <v>1512</v>
      </c>
      <c r="J17" s="43"/>
    </row>
    <row r="18" spans="1:10" x14ac:dyDescent="0.2">
      <c r="A18" s="41" t="s">
        <v>428</v>
      </c>
      <c r="B18" s="41" t="s">
        <v>1513</v>
      </c>
      <c r="C18" s="41" t="s">
        <v>1099</v>
      </c>
      <c r="D18" s="41">
        <v>1</v>
      </c>
      <c r="E18" s="41" t="s">
        <v>1514</v>
      </c>
      <c r="F18" s="41">
        <v>762</v>
      </c>
      <c r="G18" s="41">
        <v>345</v>
      </c>
      <c r="H18" s="41"/>
      <c r="I18" s="46" t="s">
        <v>1515</v>
      </c>
      <c r="J18" s="43"/>
    </row>
    <row r="19" spans="1:10" x14ac:dyDescent="0.2">
      <c r="A19" s="41" t="s">
        <v>430</v>
      </c>
      <c r="B19" s="41" t="s">
        <v>1134</v>
      </c>
      <c r="C19" s="41" t="s">
        <v>1099</v>
      </c>
      <c r="D19" s="41">
        <v>1</v>
      </c>
      <c r="E19" s="41" t="s">
        <v>1516</v>
      </c>
      <c r="F19" s="41">
        <v>1500</v>
      </c>
      <c r="G19" s="41">
        <v>13000</v>
      </c>
      <c r="H19" s="41"/>
      <c r="I19" s="43" t="s">
        <v>1517</v>
      </c>
      <c r="J19" s="43"/>
    </row>
    <row r="20" spans="1:10" x14ac:dyDescent="0.2">
      <c r="A20" s="41" t="s">
        <v>751</v>
      </c>
      <c r="B20" s="41" t="s">
        <v>3559</v>
      </c>
      <c r="C20" s="41" t="s">
        <v>1518</v>
      </c>
      <c r="D20" s="41">
        <v>1</v>
      </c>
      <c r="E20" s="41" t="s">
        <v>1519</v>
      </c>
      <c r="F20" s="41">
        <v>135</v>
      </c>
      <c r="G20" s="41">
        <v>379</v>
      </c>
      <c r="H20" s="41"/>
      <c r="I20" s="41"/>
      <c r="J20" s="43" t="s">
        <v>1520</v>
      </c>
    </row>
    <row r="21" spans="1:10" x14ac:dyDescent="0.2">
      <c r="A21" s="41" t="s">
        <v>297</v>
      </c>
      <c r="B21" s="41" t="s">
        <v>1521</v>
      </c>
      <c r="C21" s="41" t="s">
        <v>1340</v>
      </c>
      <c r="D21" s="41">
        <v>1</v>
      </c>
      <c r="E21" s="41" t="s">
        <v>1522</v>
      </c>
      <c r="F21" s="41">
        <v>75</v>
      </c>
      <c r="G21" s="41">
        <v>17</v>
      </c>
      <c r="H21" s="41"/>
      <c r="I21" s="41"/>
      <c r="J21" s="43" t="s">
        <v>1523</v>
      </c>
    </row>
    <row r="22" spans="1:10" x14ac:dyDescent="0.2">
      <c r="A22" s="41" t="s">
        <v>284</v>
      </c>
      <c r="B22" s="41" t="s">
        <v>1342</v>
      </c>
      <c r="C22" s="41" t="s">
        <v>1340</v>
      </c>
      <c r="D22" s="41">
        <v>1</v>
      </c>
      <c r="E22" s="41" t="s">
        <v>1524</v>
      </c>
      <c r="F22" s="41">
        <v>467</v>
      </c>
      <c r="G22" s="41">
        <v>27</v>
      </c>
      <c r="H22" s="41"/>
      <c r="I22" s="41"/>
      <c r="J22" s="43"/>
    </row>
    <row r="23" spans="1:10" x14ac:dyDescent="0.2">
      <c r="A23" s="41" t="s">
        <v>296</v>
      </c>
      <c r="B23" s="41" t="s">
        <v>1525</v>
      </c>
      <c r="C23" s="41" t="s">
        <v>1340</v>
      </c>
      <c r="D23" s="41">
        <v>1</v>
      </c>
      <c r="E23" s="41" t="s">
        <v>1526</v>
      </c>
      <c r="F23" s="41">
        <v>324</v>
      </c>
      <c r="G23" s="41">
        <v>17</v>
      </c>
      <c r="H23" s="47" t="s">
        <v>1527</v>
      </c>
      <c r="I23" s="41"/>
      <c r="J23" s="43" t="s">
        <v>1528</v>
      </c>
    </row>
    <row r="24" spans="1:10" x14ac:dyDescent="0.2">
      <c r="A24" s="41" t="s">
        <v>283</v>
      </c>
      <c r="B24" s="41" t="s">
        <v>1345</v>
      </c>
      <c r="C24" s="41" t="s">
        <v>1340</v>
      </c>
      <c r="D24" s="41">
        <v>1</v>
      </c>
      <c r="E24" s="41" t="s">
        <v>1529</v>
      </c>
      <c r="F24" s="41">
        <v>128</v>
      </c>
      <c r="G24" s="41">
        <v>39</v>
      </c>
      <c r="H24" s="47" t="s">
        <v>1530</v>
      </c>
      <c r="I24" s="41"/>
      <c r="J24" s="43" t="s">
        <v>1531</v>
      </c>
    </row>
    <row r="25" spans="1:10" x14ac:dyDescent="0.2">
      <c r="A25" s="41" t="s">
        <v>295</v>
      </c>
      <c r="B25" s="41" t="s">
        <v>1532</v>
      </c>
      <c r="C25" s="41" t="s">
        <v>1340</v>
      </c>
      <c r="D25" s="41">
        <v>1</v>
      </c>
      <c r="E25" s="41" t="s">
        <v>1533</v>
      </c>
      <c r="F25" s="41">
        <v>911</v>
      </c>
      <c r="G25" s="41">
        <v>45</v>
      </c>
      <c r="H25" s="41"/>
      <c r="I25" s="41"/>
      <c r="J25" s="43" t="s">
        <v>1534</v>
      </c>
    </row>
    <row r="26" spans="1:10" x14ac:dyDescent="0.2">
      <c r="A26" s="41" t="s">
        <v>294</v>
      </c>
      <c r="B26" s="41" t="s">
        <v>1535</v>
      </c>
      <c r="C26" s="41" t="s">
        <v>1340</v>
      </c>
      <c r="D26" s="41">
        <v>1</v>
      </c>
      <c r="E26" s="41" t="s">
        <v>1536</v>
      </c>
      <c r="F26" s="41">
        <v>500</v>
      </c>
      <c r="G26" s="41">
        <v>46</v>
      </c>
      <c r="H26" s="47" t="s">
        <v>1537</v>
      </c>
      <c r="I26" s="41"/>
      <c r="J26" s="43" t="s">
        <v>1538</v>
      </c>
    </row>
    <row r="27" spans="1:10" x14ac:dyDescent="0.2">
      <c r="A27" s="41" t="s">
        <v>293</v>
      </c>
      <c r="B27" s="41" t="s">
        <v>1539</v>
      </c>
      <c r="C27" s="41" t="s">
        <v>1340</v>
      </c>
      <c r="D27" s="41">
        <v>1</v>
      </c>
      <c r="E27" s="41" t="s">
        <v>1540</v>
      </c>
      <c r="F27" s="41">
        <v>114</v>
      </c>
      <c r="G27" s="41">
        <v>16</v>
      </c>
      <c r="H27" s="47" t="s">
        <v>1541</v>
      </c>
      <c r="I27" s="41"/>
      <c r="J27" s="43" t="s">
        <v>1542</v>
      </c>
    </row>
    <row r="28" spans="1:10" x14ac:dyDescent="0.2">
      <c r="A28" s="41" t="s">
        <v>292</v>
      </c>
      <c r="B28" s="41" t="s">
        <v>1543</v>
      </c>
      <c r="C28" s="41" t="s">
        <v>1340</v>
      </c>
      <c r="D28" s="41">
        <v>1</v>
      </c>
      <c r="E28" s="41" t="s">
        <v>1544</v>
      </c>
      <c r="F28" s="41">
        <v>154</v>
      </c>
      <c r="G28" s="41">
        <v>34</v>
      </c>
      <c r="H28" s="41"/>
      <c r="I28" s="41"/>
      <c r="J28" s="43"/>
    </row>
    <row r="29" spans="1:10" x14ac:dyDescent="0.2">
      <c r="A29" s="41" t="s">
        <v>281</v>
      </c>
      <c r="B29" s="41" t="s">
        <v>1545</v>
      </c>
      <c r="C29" s="41" t="s">
        <v>1340</v>
      </c>
      <c r="D29" s="41">
        <v>1</v>
      </c>
      <c r="E29" s="41" t="s">
        <v>1546</v>
      </c>
      <c r="F29" s="41">
        <v>16</v>
      </c>
      <c r="G29" s="41">
        <v>7</v>
      </c>
      <c r="H29" s="41"/>
      <c r="I29" s="41"/>
      <c r="J29" s="43"/>
    </row>
    <row r="30" spans="1:10" x14ac:dyDescent="0.2">
      <c r="A30" s="41" t="s">
        <v>45</v>
      </c>
      <c r="B30" s="41" t="s">
        <v>1368</v>
      </c>
      <c r="C30" s="41" t="s">
        <v>1363</v>
      </c>
      <c r="D30" s="41">
        <v>1</v>
      </c>
      <c r="E30" s="41" t="s">
        <v>1547</v>
      </c>
      <c r="F30" s="41">
        <v>88</v>
      </c>
      <c r="G30" s="41">
        <v>354</v>
      </c>
      <c r="H30" s="41"/>
      <c r="I30" s="41"/>
      <c r="J30" s="43"/>
    </row>
    <row r="34" spans="2:2" x14ac:dyDescent="0.2">
      <c r="B34" s="48" t="s">
        <v>1548</v>
      </c>
    </row>
    <row r="35" spans="2:2" x14ac:dyDescent="0.2">
      <c r="B35" s="49" t="s">
        <v>1549</v>
      </c>
    </row>
    <row r="36" spans="2:2" x14ac:dyDescent="0.2">
      <c r="B36" s="45" t="s">
        <v>1550</v>
      </c>
    </row>
    <row r="37" spans="2:2" x14ac:dyDescent="0.2">
      <c r="B37" t="s">
        <v>1551</v>
      </c>
    </row>
    <row r="38" spans="2:2" x14ac:dyDescent="0.2">
      <c r="B38" s="44" t="s">
        <v>1552</v>
      </c>
    </row>
    <row r="39" spans="2:2" x14ac:dyDescent="0.2">
      <c r="B39" s="46" t="s">
        <v>1553</v>
      </c>
    </row>
    <row r="41" spans="2:2" x14ac:dyDescent="0.2">
      <c r="B41" t="s">
        <v>1554</v>
      </c>
    </row>
  </sheetData>
  <autoFilter ref="A1:J30" xr:uid="{871589F0-F4E1-0046-BEBA-CEAE6D17FBCE}">
    <sortState xmlns:xlrd2="http://schemas.microsoft.com/office/spreadsheetml/2017/richdata2" ref="A2:J30">
      <sortCondition ref="C1:C30"/>
    </sortState>
  </autoFilter>
  <conditionalFormatting sqref="A1:D1">
    <cfRule type="duplicateValues" dxfId="6" priority="1"/>
    <cfRule type="duplicateValues" dxfId="5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A633-761A-9F45-9B91-8A72F4668E50}">
  <dimension ref="A1:K249"/>
  <sheetViews>
    <sheetView topLeftCell="A179" zoomScale="177" workbookViewId="0">
      <selection activeCell="D191" sqref="D191"/>
    </sheetView>
  </sheetViews>
  <sheetFormatPr baseColWidth="10" defaultRowHeight="16" x14ac:dyDescent="0.2"/>
  <sheetData>
    <row r="1" spans="1:11" ht="34" x14ac:dyDescent="0.2">
      <c r="A1" s="31" t="s">
        <v>1015</v>
      </c>
      <c r="B1" s="31" t="s">
        <v>1016</v>
      </c>
      <c r="C1" s="31"/>
      <c r="D1" s="31" t="s">
        <v>1007</v>
      </c>
      <c r="E1" s="31" t="s">
        <v>998</v>
      </c>
      <c r="F1" s="31" t="s">
        <v>1010</v>
      </c>
      <c r="G1" s="31" t="s">
        <v>1017</v>
      </c>
      <c r="H1" s="31" t="s">
        <v>1018</v>
      </c>
      <c r="I1" s="31" t="s">
        <v>1019</v>
      </c>
      <c r="J1" s="31" t="s">
        <v>1020</v>
      </c>
      <c r="K1" s="32" t="s">
        <v>1021</v>
      </c>
    </row>
    <row r="2" spans="1:11" x14ac:dyDescent="0.2">
      <c r="A2" s="33" t="s">
        <v>1022</v>
      </c>
      <c r="B2" s="33" t="s">
        <v>1023</v>
      </c>
      <c r="C2" s="33" t="str">
        <f>_xlfn.CONCAT("  ",D2)</f>
        <v xml:space="preserve">  Protocatechuic acid </v>
      </c>
      <c r="D2" s="33" t="s">
        <v>1024</v>
      </c>
      <c r="E2" s="33" t="s">
        <v>135</v>
      </c>
      <c r="F2" s="34"/>
      <c r="G2" s="35">
        <v>0.75</v>
      </c>
      <c r="H2" s="35">
        <v>0.8</v>
      </c>
      <c r="I2" s="35" t="s">
        <v>1025</v>
      </c>
      <c r="J2" s="36">
        <v>1900</v>
      </c>
      <c r="K2" s="36">
        <v>4800</v>
      </c>
    </row>
    <row r="3" spans="1:11" x14ac:dyDescent="0.2">
      <c r="A3" s="33" t="s">
        <v>3202</v>
      </c>
      <c r="B3" s="33" t="s">
        <v>1026</v>
      </c>
      <c r="C3" s="33" t="str">
        <f t="shared" ref="C3:C66" si="0">_xlfn.CONCAT("  ",D3)</f>
        <v xml:space="preserve">  Methyl methanesulfonate</v>
      </c>
      <c r="D3" s="33" t="s">
        <v>2850</v>
      </c>
      <c r="E3" s="33" t="s">
        <v>589</v>
      </c>
      <c r="F3" s="34" t="s">
        <v>332</v>
      </c>
      <c r="G3" s="35">
        <v>1</v>
      </c>
      <c r="H3" s="35">
        <v>0.95</v>
      </c>
      <c r="I3" s="35" t="s">
        <v>1027</v>
      </c>
      <c r="J3" s="36">
        <v>214</v>
      </c>
      <c r="K3" s="36">
        <v>249</v>
      </c>
    </row>
    <row r="4" spans="1:11" x14ac:dyDescent="0.2">
      <c r="A4" s="33" t="s">
        <v>1028</v>
      </c>
      <c r="B4" s="33" t="s">
        <v>1029</v>
      </c>
      <c r="C4" s="33" t="str">
        <f t="shared" si="0"/>
        <v xml:space="preserve">  2-Nitrophenol</v>
      </c>
      <c r="D4" s="33" t="s">
        <v>1028</v>
      </c>
      <c r="E4" s="33" t="s">
        <v>516</v>
      </c>
      <c r="F4" s="34"/>
      <c r="G4" s="35">
        <v>0.875</v>
      </c>
      <c r="H4" s="35">
        <v>0.91666666666666663</v>
      </c>
      <c r="I4" s="35" t="s">
        <v>1030</v>
      </c>
      <c r="J4" s="36">
        <v>202</v>
      </c>
      <c r="K4" s="36">
        <v>12000</v>
      </c>
    </row>
    <row r="5" spans="1:11" x14ac:dyDescent="0.2">
      <c r="A5" s="33" t="s">
        <v>2720</v>
      </c>
      <c r="B5" s="33" t="s">
        <v>1029</v>
      </c>
      <c r="C5" s="33" t="str">
        <f t="shared" si="0"/>
        <v xml:space="preserve">  2,3-Dichlorophenyl-4'-nitrophenyl ether</v>
      </c>
      <c r="D5" s="33" t="s">
        <v>2720</v>
      </c>
      <c r="E5" s="33" t="s">
        <v>559</v>
      </c>
      <c r="F5" s="34"/>
      <c r="G5" s="35">
        <v>0.5</v>
      </c>
      <c r="H5" s="35">
        <v>0.26666666666666672</v>
      </c>
      <c r="I5" s="35" t="s">
        <v>1031</v>
      </c>
      <c r="J5" s="36">
        <v>2</v>
      </c>
      <c r="K5" s="36">
        <v>1000</v>
      </c>
    </row>
    <row r="6" spans="1:11" x14ac:dyDescent="0.2">
      <c r="A6" s="33" t="s">
        <v>1032</v>
      </c>
      <c r="B6" s="33" t="s">
        <v>1029</v>
      </c>
      <c r="C6" s="33" t="str">
        <f t="shared" si="0"/>
        <v xml:space="preserve">  2,4-Dimethylphenol</v>
      </c>
      <c r="D6" s="33" t="s">
        <v>1032</v>
      </c>
      <c r="E6" s="33" t="s">
        <v>565</v>
      </c>
      <c r="F6" s="34"/>
      <c r="G6" s="35">
        <v>0.75</v>
      </c>
      <c r="H6" s="35">
        <v>0.8666666666666667</v>
      </c>
      <c r="I6" s="35" t="s">
        <v>1033</v>
      </c>
      <c r="J6" s="36">
        <v>58000</v>
      </c>
      <c r="K6" s="36">
        <v>150000</v>
      </c>
    </row>
    <row r="7" spans="1:11" x14ac:dyDescent="0.2">
      <c r="A7" s="33" t="s">
        <v>3212</v>
      </c>
      <c r="B7" s="33" t="s">
        <v>1029</v>
      </c>
      <c r="C7" s="33" t="str">
        <f t="shared" si="0"/>
        <v xml:space="preserve">  N-(2,4-Dimethylphenyl)formamide</v>
      </c>
      <c r="D7" s="33" t="s">
        <v>2027</v>
      </c>
      <c r="E7" s="33" t="s">
        <v>556</v>
      </c>
      <c r="F7" s="34"/>
      <c r="G7" s="35">
        <v>0.875</v>
      </c>
      <c r="H7" s="35">
        <v>0.4</v>
      </c>
      <c r="I7" s="35" t="s">
        <v>1034</v>
      </c>
      <c r="J7" s="36">
        <v>1300</v>
      </c>
      <c r="K7" s="36">
        <v>14000</v>
      </c>
    </row>
    <row r="8" spans="1:11" x14ac:dyDescent="0.2">
      <c r="A8" s="33" t="s">
        <v>3201</v>
      </c>
      <c r="B8" s="33" t="s">
        <v>1029</v>
      </c>
      <c r="C8" s="33" t="str">
        <f t="shared" si="0"/>
        <v xml:space="preserve">  3,5-Dichloronitrobenzene</v>
      </c>
      <c r="D8" s="33" t="s">
        <v>2678</v>
      </c>
      <c r="E8" s="33" t="s">
        <v>548</v>
      </c>
      <c r="F8" s="34"/>
      <c r="G8" s="35">
        <v>0.375</v>
      </c>
      <c r="H8" s="35">
        <v>1.666666666666667E-2</v>
      </c>
      <c r="I8" s="35" t="s">
        <v>1035</v>
      </c>
      <c r="J8" s="36">
        <v>19</v>
      </c>
      <c r="K8" s="36">
        <v>75</v>
      </c>
    </row>
    <row r="9" spans="1:11" x14ac:dyDescent="0.2">
      <c r="A9" s="33" t="s">
        <v>3193</v>
      </c>
      <c r="B9" s="33" t="s">
        <v>1029</v>
      </c>
      <c r="C9" s="33" t="str">
        <f t="shared" si="0"/>
        <v xml:space="preserve">  4-Chloro-o-toluidine</v>
      </c>
      <c r="D9" s="33" t="s">
        <v>3249</v>
      </c>
      <c r="E9" s="33" t="s">
        <v>508</v>
      </c>
      <c r="F9" s="34" t="s">
        <v>332</v>
      </c>
      <c r="G9" s="35">
        <v>0.875</v>
      </c>
      <c r="H9" s="35">
        <v>0.83333333333333337</v>
      </c>
      <c r="I9" s="35" t="s">
        <v>1036</v>
      </c>
      <c r="J9" s="36">
        <v>1300</v>
      </c>
      <c r="K9" s="36">
        <v>1400</v>
      </c>
    </row>
    <row r="10" spans="1:11" x14ac:dyDescent="0.2">
      <c r="A10" s="33" t="s">
        <v>1037</v>
      </c>
      <c r="B10" s="33" t="s">
        <v>1029</v>
      </c>
      <c r="C10" s="33" t="str">
        <f t="shared" si="0"/>
        <v xml:space="preserve">  Dibenzofuran</v>
      </c>
      <c r="D10" s="33" t="s">
        <v>1037</v>
      </c>
      <c r="E10" s="33" t="s">
        <v>514</v>
      </c>
      <c r="F10" s="34"/>
      <c r="G10" s="35">
        <v>1</v>
      </c>
      <c r="H10" s="35">
        <v>0.98333333333333328</v>
      </c>
      <c r="I10" s="35" t="s">
        <v>1038</v>
      </c>
      <c r="J10" s="36">
        <v>306</v>
      </c>
      <c r="K10" s="36">
        <v>3100</v>
      </c>
    </row>
    <row r="11" spans="1:11" x14ac:dyDescent="0.2">
      <c r="A11" s="33" t="s">
        <v>3188</v>
      </c>
      <c r="B11" s="33" t="s">
        <v>1029</v>
      </c>
      <c r="C11" s="33" t="str">
        <f t="shared" si="0"/>
        <v xml:space="preserve">  Dimethyl phosphate</v>
      </c>
      <c r="D11" s="33" t="s">
        <v>3247</v>
      </c>
      <c r="E11" s="33" t="s">
        <v>544</v>
      </c>
      <c r="F11" s="34"/>
      <c r="G11" s="35">
        <v>1</v>
      </c>
      <c r="H11" s="35">
        <v>1</v>
      </c>
      <c r="I11" s="35" t="s">
        <v>1039</v>
      </c>
      <c r="J11" s="36">
        <v>4000</v>
      </c>
      <c r="K11" s="36">
        <v>14000</v>
      </c>
    </row>
    <row r="12" spans="1:11" x14ac:dyDescent="0.2">
      <c r="A12" s="33" t="s">
        <v>1040</v>
      </c>
      <c r="B12" s="33" t="s">
        <v>1029</v>
      </c>
      <c r="C12" s="33" t="str">
        <f t="shared" si="0"/>
        <v xml:space="preserve">  Diphenylamine </v>
      </c>
      <c r="D12" s="33" t="s">
        <v>1041</v>
      </c>
      <c r="E12" s="33" t="s">
        <v>496</v>
      </c>
      <c r="F12" s="34" t="s">
        <v>69</v>
      </c>
      <c r="G12" s="35">
        <v>0.875</v>
      </c>
      <c r="H12" s="35">
        <v>1</v>
      </c>
      <c r="I12" s="35" t="s">
        <v>1042</v>
      </c>
      <c r="J12" s="36">
        <v>10</v>
      </c>
      <c r="K12" s="36">
        <v>2000</v>
      </c>
    </row>
    <row r="13" spans="1:11" x14ac:dyDescent="0.2">
      <c r="A13" s="33" t="s">
        <v>2820</v>
      </c>
      <c r="B13" s="33" t="s">
        <v>1029</v>
      </c>
      <c r="C13" s="33" t="str">
        <f t="shared" si="0"/>
        <v xml:space="preserve">  m-Cresol</v>
      </c>
      <c r="D13" s="33" t="s">
        <v>2820</v>
      </c>
      <c r="E13" s="33" t="s">
        <v>528</v>
      </c>
      <c r="F13" s="34"/>
      <c r="G13" s="35">
        <v>0.375</v>
      </c>
      <c r="H13" s="35">
        <v>0.45</v>
      </c>
      <c r="I13" s="35" t="s">
        <v>1043</v>
      </c>
      <c r="J13" s="36">
        <v>449</v>
      </c>
      <c r="K13" s="36">
        <v>66</v>
      </c>
    </row>
    <row r="14" spans="1:11" x14ac:dyDescent="0.2">
      <c r="A14" s="33" t="s">
        <v>3191</v>
      </c>
      <c r="B14" s="33" t="s">
        <v>1029</v>
      </c>
      <c r="C14" s="33" t="str">
        <f t="shared" si="0"/>
        <v xml:space="preserve">  Methyl methacrylate</v>
      </c>
      <c r="D14" s="33" t="s">
        <v>2848</v>
      </c>
      <c r="E14" s="33" t="s">
        <v>494</v>
      </c>
      <c r="F14" s="33" t="s">
        <v>1044</v>
      </c>
      <c r="G14" s="35">
        <v>0.75</v>
      </c>
      <c r="H14" s="35">
        <v>0.96666666666666667</v>
      </c>
      <c r="I14" s="35" t="s">
        <v>1045</v>
      </c>
      <c r="J14" s="36">
        <v>119</v>
      </c>
      <c r="K14" s="36">
        <v>2300</v>
      </c>
    </row>
    <row r="15" spans="1:11" x14ac:dyDescent="0.2">
      <c r="A15" s="33" t="s">
        <v>3197</v>
      </c>
      <c r="B15" s="33" t="s">
        <v>1029</v>
      </c>
      <c r="C15" s="33" t="str">
        <f t="shared" si="0"/>
        <v xml:space="preserve">  N-Nitrosodiethylamine</v>
      </c>
      <c r="D15" s="33" t="s">
        <v>2855</v>
      </c>
      <c r="E15" s="33" t="s">
        <v>510</v>
      </c>
      <c r="F15" s="34" t="s">
        <v>332</v>
      </c>
      <c r="G15" s="35">
        <v>0.25</v>
      </c>
      <c r="H15" s="35">
        <v>0.18333333333333329</v>
      </c>
      <c r="I15" s="35" t="s">
        <v>1046</v>
      </c>
      <c r="J15" s="36">
        <v>3600</v>
      </c>
      <c r="K15" s="36">
        <v>922</v>
      </c>
    </row>
    <row r="16" spans="1:11" x14ac:dyDescent="0.2">
      <c r="A16" s="33" t="s">
        <v>1047</v>
      </c>
      <c r="B16" s="33" t="s">
        <v>1029</v>
      </c>
      <c r="C16" s="33" t="str">
        <f t="shared" si="0"/>
        <v xml:space="preserve">  Nitrobenzene</v>
      </c>
      <c r="D16" s="33" t="s">
        <v>1047</v>
      </c>
      <c r="E16" s="33" t="s">
        <v>502</v>
      </c>
      <c r="F16" s="34" t="s">
        <v>69</v>
      </c>
      <c r="G16" s="35">
        <v>0.875</v>
      </c>
      <c r="H16" s="35">
        <v>0.95</v>
      </c>
      <c r="I16" s="35" t="s">
        <v>1048</v>
      </c>
      <c r="J16" s="36">
        <v>1600</v>
      </c>
      <c r="K16" s="36">
        <v>8</v>
      </c>
    </row>
    <row r="17" spans="1:11" x14ac:dyDescent="0.2">
      <c r="A17" s="33" t="s">
        <v>3143</v>
      </c>
      <c r="B17" s="33" t="s">
        <v>1029</v>
      </c>
      <c r="C17" s="33" t="str">
        <f t="shared" si="0"/>
        <v xml:space="preserve">  o-Cresol</v>
      </c>
      <c r="D17" s="33" t="s">
        <v>3143</v>
      </c>
      <c r="E17" s="33" t="s">
        <v>569</v>
      </c>
      <c r="F17" s="34"/>
      <c r="G17" s="35">
        <v>0.625</v>
      </c>
      <c r="H17" s="35">
        <v>0.65</v>
      </c>
      <c r="I17" s="35" t="s">
        <v>1049</v>
      </c>
      <c r="J17" s="36">
        <v>1700</v>
      </c>
      <c r="K17" s="36">
        <v>691</v>
      </c>
    </row>
    <row r="18" spans="1:11" x14ac:dyDescent="0.2">
      <c r="A18" s="33" t="s">
        <v>1050</v>
      </c>
      <c r="B18" s="33" t="s">
        <v>1029</v>
      </c>
      <c r="C18" s="33" t="str">
        <f t="shared" si="0"/>
        <v xml:space="preserve">  O,O-Diethyl phosphonate</v>
      </c>
      <c r="D18" s="33" t="s">
        <v>1051</v>
      </c>
      <c r="E18" s="33" t="s">
        <v>523</v>
      </c>
      <c r="F18" s="34"/>
      <c r="G18" s="35">
        <v>1</v>
      </c>
      <c r="H18" s="35">
        <v>1</v>
      </c>
      <c r="I18" s="35" t="s">
        <v>1052</v>
      </c>
      <c r="J18" s="36">
        <v>2000</v>
      </c>
      <c r="K18" s="36">
        <v>6700</v>
      </c>
    </row>
    <row r="19" spans="1:11" x14ac:dyDescent="0.2">
      <c r="A19" s="33" t="s">
        <v>3144</v>
      </c>
      <c r="B19" s="33" t="s">
        <v>1029</v>
      </c>
      <c r="C19" s="33" t="str">
        <f t="shared" si="0"/>
        <v xml:space="preserve">  p-Cresol</v>
      </c>
      <c r="D19" s="33" t="s">
        <v>3144</v>
      </c>
      <c r="E19" s="33" t="s">
        <v>574</v>
      </c>
      <c r="F19" s="34"/>
      <c r="G19" s="35">
        <v>1</v>
      </c>
      <c r="H19" s="35">
        <v>1</v>
      </c>
      <c r="I19" s="35" t="s">
        <v>1053</v>
      </c>
      <c r="J19" s="36">
        <v>273</v>
      </c>
      <c r="K19" s="36">
        <v>24000</v>
      </c>
    </row>
    <row r="20" spans="1:11" x14ac:dyDescent="0.2">
      <c r="A20" s="33" t="s">
        <v>3156</v>
      </c>
      <c r="B20" s="33" t="s">
        <v>1029</v>
      </c>
      <c r="C20" s="33" t="str">
        <f t="shared" si="0"/>
        <v xml:space="preserve">  p-Nitrophenol</v>
      </c>
      <c r="D20" s="33" t="s">
        <v>3156</v>
      </c>
      <c r="E20" s="33" t="s">
        <v>575</v>
      </c>
      <c r="F20" s="33"/>
      <c r="G20" s="35">
        <v>0.25</v>
      </c>
      <c r="H20" s="35">
        <v>0.85</v>
      </c>
      <c r="I20" s="35" t="s">
        <v>1054</v>
      </c>
      <c r="J20" s="36">
        <v>42</v>
      </c>
      <c r="K20" s="36">
        <v>6700</v>
      </c>
    </row>
    <row r="21" spans="1:11" x14ac:dyDescent="0.2">
      <c r="A21" s="33" t="s">
        <v>1055</v>
      </c>
      <c r="B21" s="33" t="s">
        <v>1029</v>
      </c>
      <c r="C21" s="33" t="str">
        <f t="shared" si="0"/>
        <v xml:space="preserve">  Phenol, 2-octyl-</v>
      </c>
      <c r="D21" s="33" t="s">
        <v>1056</v>
      </c>
      <c r="E21" s="33" t="s">
        <v>571</v>
      </c>
      <c r="F21" s="34"/>
      <c r="G21" s="35">
        <v>0.25</v>
      </c>
      <c r="H21" s="35">
        <v>0.98333333333333328</v>
      </c>
      <c r="I21" s="35" t="s">
        <v>1057</v>
      </c>
      <c r="J21" s="36">
        <v>246</v>
      </c>
      <c r="K21" s="36">
        <v>230</v>
      </c>
    </row>
    <row r="22" spans="1:11" x14ac:dyDescent="0.2">
      <c r="A22" s="33" t="s">
        <v>2332</v>
      </c>
      <c r="B22" s="33" t="s">
        <v>1029</v>
      </c>
      <c r="C22" s="33" t="str">
        <f t="shared" si="0"/>
        <v xml:space="preserve">  Phenol</v>
      </c>
      <c r="D22" s="33" t="s">
        <v>2332</v>
      </c>
      <c r="E22" s="33" t="s">
        <v>487</v>
      </c>
      <c r="F22" s="33" t="s">
        <v>1044</v>
      </c>
      <c r="G22" s="35">
        <v>1</v>
      </c>
      <c r="H22" s="35">
        <v>0.5</v>
      </c>
      <c r="I22" s="35" t="s">
        <v>1059</v>
      </c>
      <c r="J22" s="36">
        <v>656</v>
      </c>
      <c r="K22" s="36">
        <v>71</v>
      </c>
    </row>
    <row r="23" spans="1:11" x14ac:dyDescent="0.2">
      <c r="A23" s="33" t="s">
        <v>1060</v>
      </c>
      <c r="B23" s="33" t="s">
        <v>1029</v>
      </c>
      <c r="C23" s="33" t="str">
        <f t="shared" si="0"/>
        <v xml:space="preserve">  Propylene thiourea </v>
      </c>
      <c r="D23" s="33" t="s">
        <v>1061</v>
      </c>
      <c r="E23" s="33" t="s">
        <v>521</v>
      </c>
      <c r="F23" s="34"/>
      <c r="G23" s="35">
        <v>1</v>
      </c>
      <c r="H23" s="35">
        <v>0.96666666666666667</v>
      </c>
      <c r="I23" s="35" t="s">
        <v>1062</v>
      </c>
      <c r="J23" s="36">
        <v>35</v>
      </c>
      <c r="K23" s="36">
        <v>6600</v>
      </c>
    </row>
    <row r="24" spans="1:11" x14ac:dyDescent="0.2">
      <c r="A24" s="33" t="s">
        <v>1063</v>
      </c>
      <c r="B24" s="33" t="s">
        <v>1029</v>
      </c>
      <c r="C24" s="33" t="str">
        <f t="shared" si="0"/>
        <v xml:space="preserve">  2,4,6-Tribromophenol </v>
      </c>
      <c r="D24" s="33" t="s">
        <v>1064</v>
      </c>
      <c r="E24" s="33" t="s">
        <v>573</v>
      </c>
      <c r="F24" s="34"/>
      <c r="G24" s="35">
        <v>0.875</v>
      </c>
      <c r="H24" s="35">
        <v>0.2</v>
      </c>
      <c r="I24" s="35" t="s">
        <v>1065</v>
      </c>
      <c r="J24" s="36">
        <v>85</v>
      </c>
      <c r="K24" s="36">
        <v>21</v>
      </c>
    </row>
    <row r="25" spans="1:11" x14ac:dyDescent="0.2">
      <c r="A25" s="33" t="s">
        <v>1066</v>
      </c>
      <c r="B25" s="33" t="s">
        <v>1029</v>
      </c>
      <c r="C25" s="33" t="str">
        <f t="shared" si="0"/>
        <v xml:space="preserve">  Tetrahydrophthalimide </v>
      </c>
      <c r="D25" s="33" t="s">
        <v>1067</v>
      </c>
      <c r="E25" s="33" t="s">
        <v>568</v>
      </c>
      <c r="F25" s="34"/>
      <c r="G25" s="35">
        <v>0.5</v>
      </c>
      <c r="H25" s="35">
        <v>0.8833333333333333</v>
      </c>
      <c r="I25" s="35" t="s">
        <v>1068</v>
      </c>
      <c r="J25" s="36">
        <v>2200</v>
      </c>
      <c r="K25" s="36">
        <v>2300</v>
      </c>
    </row>
    <row r="26" spans="1:11" x14ac:dyDescent="0.2">
      <c r="A26" s="33" t="s">
        <v>1069</v>
      </c>
      <c r="B26" s="33" t="s">
        <v>1070</v>
      </c>
      <c r="C26" s="33" t="str">
        <f t="shared" si="0"/>
        <v xml:space="preserve">  2-Methylnaphthalene</v>
      </c>
      <c r="D26" s="33" t="s">
        <v>1069</v>
      </c>
      <c r="E26" s="33" t="s">
        <v>468</v>
      </c>
      <c r="F26" s="34"/>
      <c r="G26" s="35">
        <v>1</v>
      </c>
      <c r="H26" s="35">
        <v>0.98333333333333328</v>
      </c>
      <c r="I26" s="35" t="s">
        <v>1071</v>
      </c>
      <c r="J26" s="36">
        <v>1400</v>
      </c>
      <c r="K26" s="36">
        <v>697</v>
      </c>
    </row>
    <row r="27" spans="1:11" x14ac:dyDescent="0.2">
      <c r="A27" s="33" t="s">
        <v>3192</v>
      </c>
      <c r="B27" s="33" t="s">
        <v>1070</v>
      </c>
      <c r="C27" s="33" t="str">
        <f t="shared" si="0"/>
        <v xml:space="preserve">  3-Methylcholanthrene</v>
      </c>
      <c r="D27" s="33" t="s">
        <v>2846</v>
      </c>
      <c r="E27" s="33" t="s">
        <v>470</v>
      </c>
      <c r="F27" s="34"/>
      <c r="G27" s="35">
        <v>1</v>
      </c>
      <c r="H27" s="35">
        <v>0.1166666666666667</v>
      </c>
      <c r="I27" s="35" t="s">
        <v>1072</v>
      </c>
      <c r="J27" s="36">
        <v>47</v>
      </c>
      <c r="K27" s="36">
        <v>32</v>
      </c>
    </row>
    <row r="28" spans="1:11" x14ac:dyDescent="0.2">
      <c r="A28" s="33" t="s">
        <v>1469</v>
      </c>
      <c r="B28" s="33" t="s">
        <v>1070</v>
      </c>
      <c r="C28" s="33" t="str">
        <f t="shared" si="0"/>
        <v xml:space="preserve">  Acenaphthene</v>
      </c>
      <c r="D28" s="33" t="s">
        <v>1469</v>
      </c>
      <c r="E28" s="33" t="s">
        <v>444</v>
      </c>
      <c r="F28" s="33" t="s">
        <v>1044</v>
      </c>
      <c r="G28" s="35">
        <v>1</v>
      </c>
      <c r="H28" s="35">
        <v>0.93333333333333335</v>
      </c>
      <c r="I28" s="35" t="s">
        <v>1073</v>
      </c>
      <c r="J28" s="36">
        <v>2100</v>
      </c>
      <c r="K28" s="36">
        <v>5300</v>
      </c>
    </row>
    <row r="29" spans="1:11" x14ac:dyDescent="0.2">
      <c r="A29" s="33" t="s">
        <v>1074</v>
      </c>
      <c r="B29" s="33" t="s">
        <v>1070</v>
      </c>
      <c r="C29" s="33" t="str">
        <f t="shared" si="0"/>
        <v xml:space="preserve">  Acenaphthylene</v>
      </c>
      <c r="D29" s="33" t="s">
        <v>1074</v>
      </c>
      <c r="E29" s="33" t="s">
        <v>464</v>
      </c>
      <c r="F29" s="34" t="s">
        <v>332</v>
      </c>
      <c r="G29" s="35">
        <v>1</v>
      </c>
      <c r="H29" s="35">
        <v>0.91666666666666663</v>
      </c>
      <c r="I29" s="35" t="s">
        <v>1075</v>
      </c>
      <c r="J29" s="36">
        <v>2000</v>
      </c>
      <c r="K29" s="36">
        <v>696</v>
      </c>
    </row>
    <row r="30" spans="1:11" x14ac:dyDescent="0.2">
      <c r="A30" s="33" t="s">
        <v>1076</v>
      </c>
      <c r="B30" s="33" t="s">
        <v>1070</v>
      </c>
      <c r="C30" s="33" t="str">
        <f t="shared" si="0"/>
        <v xml:space="preserve">  Anthracene</v>
      </c>
      <c r="D30" s="33" t="s">
        <v>1076</v>
      </c>
      <c r="E30" s="33" t="s">
        <v>455</v>
      </c>
      <c r="F30" s="34" t="s">
        <v>69</v>
      </c>
      <c r="G30" s="35">
        <v>1</v>
      </c>
      <c r="H30" s="35">
        <v>0.98333333333333328</v>
      </c>
      <c r="I30" s="35" t="s">
        <v>1077</v>
      </c>
      <c r="J30" s="36">
        <v>975</v>
      </c>
      <c r="K30" s="36">
        <v>89</v>
      </c>
    </row>
    <row r="31" spans="1:11" x14ac:dyDescent="0.2">
      <c r="A31" s="33" t="s">
        <v>1078</v>
      </c>
      <c r="B31" s="33" t="s">
        <v>1070</v>
      </c>
      <c r="C31" s="33" t="str">
        <f t="shared" si="0"/>
        <v xml:space="preserve">  Benz(a)anthracene</v>
      </c>
      <c r="D31" s="33" t="s">
        <v>1078</v>
      </c>
      <c r="E31" s="33" t="s">
        <v>460</v>
      </c>
      <c r="F31" s="34" t="s">
        <v>69</v>
      </c>
      <c r="G31" s="35">
        <v>0.75</v>
      </c>
      <c r="H31" s="35">
        <v>0.8666666666666667</v>
      </c>
      <c r="I31" s="35" t="s">
        <v>1079</v>
      </c>
      <c r="J31" s="36">
        <v>55</v>
      </c>
      <c r="K31" s="36">
        <v>1200</v>
      </c>
    </row>
    <row r="32" spans="1:11" x14ac:dyDescent="0.2">
      <c r="A32" s="33" t="s">
        <v>1479</v>
      </c>
      <c r="B32" s="33" t="s">
        <v>1070</v>
      </c>
      <c r="C32" s="33" t="str">
        <f t="shared" si="0"/>
        <v xml:space="preserve">  Benzo(b)fluoranthene</v>
      </c>
      <c r="D32" s="33" t="s">
        <v>1479</v>
      </c>
      <c r="E32" s="33" t="s">
        <v>459</v>
      </c>
      <c r="F32" s="34" t="s">
        <v>69</v>
      </c>
      <c r="G32" s="35">
        <v>0.875</v>
      </c>
      <c r="H32" s="35">
        <v>0.8833333333333333</v>
      </c>
      <c r="I32" s="35" t="s">
        <v>1080</v>
      </c>
      <c r="J32" s="36">
        <v>7</v>
      </c>
      <c r="K32" s="36">
        <v>957</v>
      </c>
    </row>
    <row r="33" spans="1:11" x14ac:dyDescent="0.2">
      <c r="A33" s="33" t="s">
        <v>1482</v>
      </c>
      <c r="B33" s="33" t="s">
        <v>1070</v>
      </c>
      <c r="C33" s="33" t="str">
        <f t="shared" si="0"/>
        <v xml:space="preserve">  Benzo(k)fluoranthene</v>
      </c>
      <c r="D33" s="33" t="s">
        <v>1482</v>
      </c>
      <c r="E33" s="33" t="s">
        <v>461</v>
      </c>
      <c r="F33" s="34" t="s">
        <v>69</v>
      </c>
      <c r="G33" s="35">
        <v>1</v>
      </c>
      <c r="H33" s="35">
        <v>0.68333333333333335</v>
      </c>
      <c r="I33" s="35" t="s">
        <v>1081</v>
      </c>
      <c r="J33" s="36">
        <v>15</v>
      </c>
      <c r="K33" s="36">
        <v>459</v>
      </c>
    </row>
    <row r="34" spans="1:11" x14ac:dyDescent="0.2">
      <c r="A34" s="33" t="s">
        <v>1486</v>
      </c>
      <c r="B34" s="33" t="s">
        <v>1070</v>
      </c>
      <c r="C34" s="33" t="str">
        <f t="shared" si="0"/>
        <v xml:space="preserve">  Benzo[a]pyrene</v>
      </c>
      <c r="D34" s="33" t="s">
        <v>1486</v>
      </c>
      <c r="E34" s="33" t="s">
        <v>473</v>
      </c>
      <c r="F34" s="33">
        <v>1</v>
      </c>
      <c r="G34" s="35">
        <v>1</v>
      </c>
      <c r="H34" s="35">
        <v>0.9</v>
      </c>
      <c r="I34" s="35" t="s">
        <v>1082</v>
      </c>
      <c r="J34" s="36">
        <v>18</v>
      </c>
      <c r="K34" s="36">
        <v>725</v>
      </c>
    </row>
    <row r="35" spans="1:11" x14ac:dyDescent="0.2">
      <c r="A35" s="33" t="s">
        <v>1083</v>
      </c>
      <c r="B35" s="33" t="s">
        <v>1070</v>
      </c>
      <c r="C35" s="33" t="str">
        <f t="shared" si="0"/>
        <v xml:space="preserve">  Chrysene</v>
      </c>
      <c r="D35" s="33" t="s">
        <v>1083</v>
      </c>
      <c r="E35" s="33" t="s">
        <v>453</v>
      </c>
      <c r="F35" s="34" t="s">
        <v>69</v>
      </c>
      <c r="G35" s="35">
        <v>0.875</v>
      </c>
      <c r="H35" s="35">
        <v>0.65</v>
      </c>
      <c r="I35" s="35" t="s">
        <v>1084</v>
      </c>
      <c r="J35" s="36">
        <v>14</v>
      </c>
      <c r="K35" s="36">
        <v>16</v>
      </c>
    </row>
    <row r="36" spans="1:11" x14ac:dyDescent="0.2">
      <c r="A36" s="33" t="s">
        <v>3209</v>
      </c>
      <c r="B36" s="33" t="s">
        <v>1070</v>
      </c>
      <c r="C36" s="33" t="str">
        <f t="shared" si="0"/>
        <v xml:space="preserve">  Dibenz(a,h)anthracene (DBahA)</v>
      </c>
      <c r="D36" s="33" t="s">
        <v>1491</v>
      </c>
      <c r="E36" s="33" t="s">
        <v>466</v>
      </c>
      <c r="F36" s="34" t="s">
        <v>332</v>
      </c>
      <c r="G36" s="35">
        <v>0.25</v>
      </c>
      <c r="H36" s="35">
        <v>0.8833333333333333</v>
      </c>
      <c r="I36" s="35" t="s">
        <v>1085</v>
      </c>
      <c r="J36" s="36">
        <v>1800</v>
      </c>
      <c r="K36" s="36">
        <v>14000</v>
      </c>
    </row>
    <row r="37" spans="1:11" x14ac:dyDescent="0.2">
      <c r="A37" s="33" t="s">
        <v>3211</v>
      </c>
      <c r="B37" s="33" t="s">
        <v>1070</v>
      </c>
      <c r="C37" s="33" t="str">
        <f t="shared" si="0"/>
        <v xml:space="preserve">  7,12-Dimethylbenz(a)anthracene</v>
      </c>
      <c r="D37" s="33" t="s">
        <v>2827</v>
      </c>
      <c r="E37" s="33" t="s">
        <v>472</v>
      </c>
      <c r="F37" s="34"/>
      <c r="G37" s="35">
        <v>0.75</v>
      </c>
      <c r="H37" s="35">
        <v>0.8666666666666667</v>
      </c>
      <c r="I37" s="35" t="s">
        <v>1086</v>
      </c>
      <c r="J37" s="36">
        <v>7</v>
      </c>
      <c r="K37" s="36">
        <v>811</v>
      </c>
    </row>
    <row r="38" spans="1:11" x14ac:dyDescent="0.2">
      <c r="A38" s="33" t="s">
        <v>1087</v>
      </c>
      <c r="B38" s="33" t="s">
        <v>1070</v>
      </c>
      <c r="C38" s="33" t="str">
        <f t="shared" si="0"/>
        <v xml:space="preserve">  Fluoranthene</v>
      </c>
      <c r="D38" s="33" t="s">
        <v>1087</v>
      </c>
      <c r="E38" s="33" t="s">
        <v>450</v>
      </c>
      <c r="F38" s="33" t="s">
        <v>1044</v>
      </c>
      <c r="G38" s="35">
        <v>1</v>
      </c>
      <c r="H38" s="35">
        <v>0.91666666666666663</v>
      </c>
      <c r="I38" s="35" t="s">
        <v>1088</v>
      </c>
      <c r="J38" s="36">
        <v>80</v>
      </c>
      <c r="K38" s="36">
        <v>212</v>
      </c>
    </row>
    <row r="39" spans="1:11" x14ac:dyDescent="0.2">
      <c r="A39" s="33" t="s">
        <v>1089</v>
      </c>
      <c r="B39" s="33" t="s">
        <v>1070</v>
      </c>
      <c r="C39" s="33" t="str">
        <f t="shared" si="0"/>
        <v xml:space="preserve">  Naphthalene</v>
      </c>
      <c r="D39" s="33" t="s">
        <v>1089</v>
      </c>
      <c r="E39" s="33" t="s">
        <v>457</v>
      </c>
      <c r="F39" s="34" t="s">
        <v>69</v>
      </c>
      <c r="G39" s="35">
        <v>0.625</v>
      </c>
      <c r="H39" s="35">
        <v>0.91666666666666663</v>
      </c>
      <c r="I39" s="35" t="s">
        <v>1090</v>
      </c>
      <c r="J39" s="36">
        <v>723</v>
      </c>
      <c r="K39" s="36">
        <v>908</v>
      </c>
    </row>
    <row r="40" spans="1:11" x14ac:dyDescent="0.2">
      <c r="A40" s="33" t="s">
        <v>1835</v>
      </c>
      <c r="B40" s="33" t="s">
        <v>1070</v>
      </c>
      <c r="C40" s="33" t="str">
        <f t="shared" si="0"/>
        <v xml:space="preserve">  Octachlorodibenzofuran</v>
      </c>
      <c r="D40" s="33" t="s">
        <v>3139</v>
      </c>
      <c r="E40" s="33" t="s">
        <v>477</v>
      </c>
      <c r="F40" s="33" t="s">
        <v>1044</v>
      </c>
      <c r="G40" s="35">
        <v>1</v>
      </c>
      <c r="H40" s="35">
        <v>0.75</v>
      </c>
      <c r="I40" s="35" t="s">
        <v>1091</v>
      </c>
      <c r="J40" s="36">
        <v>496</v>
      </c>
      <c r="K40" s="36">
        <v>11000</v>
      </c>
    </row>
    <row r="41" spans="1:11" x14ac:dyDescent="0.2">
      <c r="A41" s="33" t="s">
        <v>1092</v>
      </c>
      <c r="B41" s="33" t="s">
        <v>1070</v>
      </c>
      <c r="C41" s="33" t="str">
        <f t="shared" si="0"/>
        <v xml:space="preserve">  Phenanthrene</v>
      </c>
      <c r="D41" s="33" t="s">
        <v>1092</v>
      </c>
      <c r="E41" s="33" t="s">
        <v>439</v>
      </c>
      <c r="F41" s="33" t="s">
        <v>1044</v>
      </c>
      <c r="G41" s="35">
        <v>1</v>
      </c>
      <c r="H41" s="35">
        <v>1</v>
      </c>
      <c r="I41" s="35" t="s">
        <v>1093</v>
      </c>
      <c r="J41" s="36">
        <v>1100</v>
      </c>
      <c r="K41" s="36">
        <v>98</v>
      </c>
    </row>
    <row r="42" spans="1:11" x14ac:dyDescent="0.2">
      <c r="A42" s="33" t="s">
        <v>1094</v>
      </c>
      <c r="B42" s="33" t="s">
        <v>1070</v>
      </c>
      <c r="C42" s="33" t="str">
        <f t="shared" si="0"/>
        <v xml:space="preserve">  Pyrene</v>
      </c>
      <c r="D42" s="33" t="s">
        <v>1094</v>
      </c>
      <c r="E42" s="33" t="s">
        <v>449</v>
      </c>
      <c r="F42" s="33" t="s">
        <v>1044</v>
      </c>
      <c r="G42" s="35">
        <v>0.875</v>
      </c>
      <c r="H42" s="35">
        <v>0.93333333333333335</v>
      </c>
      <c r="I42" s="35" t="s">
        <v>1095</v>
      </c>
      <c r="J42" s="36">
        <v>35</v>
      </c>
      <c r="K42" s="36">
        <v>403</v>
      </c>
    </row>
    <row r="43" spans="1:11" x14ac:dyDescent="0.2">
      <c r="A43" s="33" t="s">
        <v>3194</v>
      </c>
      <c r="B43" s="33" t="s">
        <v>1096</v>
      </c>
      <c r="C43" s="33" t="str">
        <f t="shared" si="0"/>
        <v xml:space="preserve">  Dibromochloromethane</v>
      </c>
      <c r="D43" s="33" t="s">
        <v>2567</v>
      </c>
      <c r="E43" s="33" t="s">
        <v>433</v>
      </c>
      <c r="F43" s="33" t="s">
        <v>1044</v>
      </c>
      <c r="G43" s="35">
        <v>0.125</v>
      </c>
      <c r="H43" s="35">
        <v>0.81666666666666665</v>
      </c>
      <c r="I43" s="35" t="s">
        <v>1097</v>
      </c>
      <c r="J43" s="36">
        <v>3</v>
      </c>
      <c r="K43" s="36">
        <v>13</v>
      </c>
    </row>
    <row r="44" spans="1:11" x14ac:dyDescent="0.2">
      <c r="A44" s="33" t="s">
        <v>1098</v>
      </c>
      <c r="B44" s="33" t="s">
        <v>1099</v>
      </c>
      <c r="C44" s="33" t="str">
        <f t="shared" si="0"/>
        <v xml:space="preserve">  1-Naphthol</v>
      </c>
      <c r="D44" s="33" t="s">
        <v>1100</v>
      </c>
      <c r="E44" s="33" t="s">
        <v>409</v>
      </c>
      <c r="F44" s="34"/>
      <c r="G44" s="35">
        <v>1</v>
      </c>
      <c r="H44" s="35">
        <v>1</v>
      </c>
      <c r="I44" s="35" t="s">
        <v>1101</v>
      </c>
      <c r="J44" s="36">
        <v>3500</v>
      </c>
      <c r="K44" s="36">
        <v>728</v>
      </c>
    </row>
    <row r="45" spans="1:11" x14ac:dyDescent="0.2">
      <c r="A45" s="33" t="s">
        <v>1102</v>
      </c>
      <c r="B45" s="33" t="s">
        <v>1099</v>
      </c>
      <c r="C45" s="33" t="str">
        <f t="shared" si="0"/>
        <v xml:space="preserve">  1-Naphthylamine</v>
      </c>
      <c r="D45" s="33" t="s">
        <v>1102</v>
      </c>
      <c r="E45" s="33" t="s">
        <v>363</v>
      </c>
      <c r="F45" s="33" t="s">
        <v>1044</v>
      </c>
      <c r="G45" s="35">
        <v>0.75</v>
      </c>
      <c r="H45" s="35">
        <v>0.66666666666666663</v>
      </c>
      <c r="I45" s="35" t="s">
        <v>1103</v>
      </c>
      <c r="J45" s="36">
        <v>1700</v>
      </c>
      <c r="K45" s="36">
        <v>6600</v>
      </c>
    </row>
    <row r="46" spans="1:11" x14ac:dyDescent="0.2">
      <c r="A46" s="33" t="s">
        <v>1104</v>
      </c>
      <c r="B46" s="33" t="s">
        <v>1099</v>
      </c>
      <c r="C46" s="33" t="str">
        <f t="shared" si="0"/>
        <v xml:space="preserve">  2-Aminobiphenyl </v>
      </c>
      <c r="D46" s="33" t="s">
        <v>1105</v>
      </c>
      <c r="E46" s="33" t="s">
        <v>426</v>
      </c>
      <c r="F46" s="33">
        <v>1</v>
      </c>
      <c r="G46" s="35">
        <v>0.5</v>
      </c>
      <c r="H46" s="35">
        <v>0.56666666666666665</v>
      </c>
      <c r="I46" s="35" t="s">
        <v>1106</v>
      </c>
      <c r="J46" s="36">
        <v>928</v>
      </c>
      <c r="K46" s="36">
        <v>1800</v>
      </c>
    </row>
    <row r="47" spans="1:11" x14ac:dyDescent="0.2">
      <c r="A47" s="33" t="s">
        <v>1107</v>
      </c>
      <c r="B47" s="33" t="s">
        <v>1099</v>
      </c>
      <c r="C47" s="33" t="str">
        <f t="shared" si="0"/>
        <v xml:space="preserve">  2-Naphthylamine</v>
      </c>
      <c r="D47" s="33" t="s">
        <v>1107</v>
      </c>
      <c r="E47" s="33" t="s">
        <v>422</v>
      </c>
      <c r="F47" s="33">
        <v>1</v>
      </c>
      <c r="G47" s="35">
        <v>1</v>
      </c>
      <c r="H47" s="35">
        <v>0.71666666666666667</v>
      </c>
      <c r="I47" s="35" t="s">
        <v>1108</v>
      </c>
      <c r="J47" s="36">
        <v>343</v>
      </c>
      <c r="K47" s="36">
        <v>37000</v>
      </c>
    </row>
    <row r="48" spans="1:11" x14ac:dyDescent="0.2">
      <c r="A48" s="33" t="s">
        <v>1109</v>
      </c>
      <c r="B48" s="33" t="s">
        <v>1099</v>
      </c>
      <c r="C48" s="33" t="str">
        <f t="shared" si="0"/>
        <v xml:space="preserve">  2-Nitroaniline</v>
      </c>
      <c r="D48" s="33" t="s">
        <v>1109</v>
      </c>
      <c r="E48" s="33" t="s">
        <v>417</v>
      </c>
      <c r="F48" s="34"/>
      <c r="G48" s="35">
        <v>0.75</v>
      </c>
      <c r="H48" s="35">
        <v>0.2</v>
      </c>
      <c r="I48" s="35" t="s">
        <v>1110</v>
      </c>
      <c r="J48" s="36">
        <v>8100</v>
      </c>
      <c r="K48" s="36">
        <v>2500</v>
      </c>
    </row>
    <row r="49" spans="1:11" x14ac:dyDescent="0.2">
      <c r="A49" s="33" t="s">
        <v>1111</v>
      </c>
      <c r="B49" s="33" t="s">
        <v>1099</v>
      </c>
      <c r="C49" s="33" t="str">
        <f t="shared" si="0"/>
        <v xml:space="preserve">  2,4-Diaminoanisole (as sulfate hydrate)</v>
      </c>
      <c r="D49" s="33" t="s">
        <v>1112</v>
      </c>
      <c r="E49" s="33" t="s">
        <v>385</v>
      </c>
      <c r="F49" s="34" t="s">
        <v>69</v>
      </c>
      <c r="G49" s="35">
        <v>0.625</v>
      </c>
      <c r="H49" s="35">
        <v>0.1</v>
      </c>
      <c r="I49" s="35" t="s">
        <v>1113</v>
      </c>
      <c r="J49" s="36">
        <v>3000</v>
      </c>
      <c r="K49" s="36">
        <v>12000</v>
      </c>
    </row>
    <row r="50" spans="1:11" x14ac:dyDescent="0.2">
      <c r="A50" s="33" t="s">
        <v>1114</v>
      </c>
      <c r="B50" s="33" t="s">
        <v>1099</v>
      </c>
      <c r="C50" s="33" t="str">
        <f t="shared" si="0"/>
        <v xml:space="preserve">  4-Aminobiphenyl </v>
      </c>
      <c r="D50" s="33" t="s">
        <v>1115</v>
      </c>
      <c r="E50" s="33" t="s">
        <v>424</v>
      </c>
      <c r="F50" s="33">
        <v>1</v>
      </c>
      <c r="G50" s="35">
        <v>1</v>
      </c>
      <c r="H50" s="35">
        <v>1</v>
      </c>
      <c r="I50" s="35" t="s">
        <v>1116</v>
      </c>
      <c r="J50" s="36">
        <v>13</v>
      </c>
      <c r="K50" s="36">
        <v>100000</v>
      </c>
    </row>
    <row r="51" spans="1:11" x14ac:dyDescent="0.2">
      <c r="A51" s="33" t="s">
        <v>1117</v>
      </c>
      <c r="B51" s="33" t="s">
        <v>1099</v>
      </c>
      <c r="C51" s="33" t="str">
        <f t="shared" si="0"/>
        <v xml:space="preserve">  4-Chloroaniline</v>
      </c>
      <c r="D51" s="33" t="s">
        <v>1118</v>
      </c>
      <c r="E51" s="33" t="s">
        <v>381</v>
      </c>
      <c r="F51" s="34" t="s">
        <v>69</v>
      </c>
      <c r="G51" s="35">
        <v>1</v>
      </c>
      <c r="H51" s="35">
        <v>0.85</v>
      </c>
      <c r="I51" s="35" t="s">
        <v>1119</v>
      </c>
      <c r="J51" s="36">
        <v>12</v>
      </c>
      <c r="K51" s="36">
        <v>1100</v>
      </c>
    </row>
    <row r="52" spans="1:11" x14ac:dyDescent="0.2">
      <c r="A52" s="33" t="s">
        <v>1120</v>
      </c>
      <c r="B52" s="33" t="s">
        <v>1099</v>
      </c>
      <c r="C52" s="33" t="str">
        <f t="shared" si="0"/>
        <v xml:space="preserve">  5-Nitro-o-toluidine </v>
      </c>
      <c r="D52" s="33" t="s">
        <v>1121</v>
      </c>
      <c r="E52" s="33" t="s">
        <v>367</v>
      </c>
      <c r="F52" s="33" t="s">
        <v>1044</v>
      </c>
      <c r="G52" s="35">
        <v>1</v>
      </c>
      <c r="H52" s="35">
        <v>0.96666666666666667</v>
      </c>
      <c r="I52" s="35" t="s">
        <v>1122</v>
      </c>
      <c r="J52" s="36">
        <v>1600</v>
      </c>
      <c r="K52" s="36">
        <v>109</v>
      </c>
    </row>
    <row r="53" spans="1:11" x14ac:dyDescent="0.2">
      <c r="A53" s="33" t="s">
        <v>1123</v>
      </c>
      <c r="B53" s="33" t="s">
        <v>1099</v>
      </c>
      <c r="C53" s="33" t="str">
        <f t="shared" si="0"/>
        <v xml:space="preserve">  Anthraquinone</v>
      </c>
      <c r="D53" s="33" t="s">
        <v>1123</v>
      </c>
      <c r="E53" s="33" t="s">
        <v>379</v>
      </c>
      <c r="F53" s="34" t="s">
        <v>69</v>
      </c>
      <c r="G53" s="35">
        <v>1</v>
      </c>
      <c r="H53" s="35">
        <v>0.58333333333333337</v>
      </c>
      <c r="I53" s="35" t="s">
        <v>1124</v>
      </c>
      <c r="J53" s="36">
        <v>15000</v>
      </c>
      <c r="K53" s="36">
        <v>16</v>
      </c>
    </row>
    <row r="54" spans="1:11" x14ac:dyDescent="0.2">
      <c r="A54" s="33" t="s">
        <v>1125</v>
      </c>
      <c r="B54" s="33" t="s">
        <v>1099</v>
      </c>
      <c r="C54" s="33" t="str">
        <f t="shared" si="0"/>
        <v xml:space="preserve">  Azobenzene</v>
      </c>
      <c r="D54" s="33" t="s">
        <v>1125</v>
      </c>
      <c r="E54" s="33" t="s">
        <v>360</v>
      </c>
      <c r="F54" s="33" t="s">
        <v>1044</v>
      </c>
      <c r="G54" s="35">
        <v>0.25</v>
      </c>
      <c r="H54" s="35">
        <v>0.98333333333333328</v>
      </c>
      <c r="I54" s="35" t="s">
        <v>1126</v>
      </c>
      <c r="J54" s="36">
        <v>20</v>
      </c>
      <c r="K54" s="36">
        <v>12000</v>
      </c>
    </row>
    <row r="55" spans="1:11" x14ac:dyDescent="0.2">
      <c r="A55" s="33" t="s">
        <v>1513</v>
      </c>
      <c r="B55" s="33" t="s">
        <v>1099</v>
      </c>
      <c r="C55" s="33" t="str">
        <f t="shared" si="0"/>
        <v xml:space="preserve">  Benzidine</v>
      </c>
      <c r="D55" s="33" t="s">
        <v>1513</v>
      </c>
      <c r="E55" s="33" t="s">
        <v>428</v>
      </c>
      <c r="F55" s="33">
        <v>1</v>
      </c>
      <c r="G55" s="35">
        <v>1</v>
      </c>
      <c r="H55" s="35">
        <v>0.85</v>
      </c>
      <c r="I55" s="35" t="s">
        <v>1127</v>
      </c>
      <c r="J55" s="36">
        <v>762</v>
      </c>
      <c r="K55" s="36">
        <v>345</v>
      </c>
    </row>
    <row r="56" spans="1:11" x14ac:dyDescent="0.2">
      <c r="A56" s="33" t="s">
        <v>1128</v>
      </c>
      <c r="B56" s="33" t="s">
        <v>1099</v>
      </c>
      <c r="C56" s="33" t="str">
        <f t="shared" si="0"/>
        <v xml:space="preserve">  Carbazole</v>
      </c>
      <c r="D56" s="33" t="s">
        <v>1128</v>
      </c>
      <c r="E56" s="33" t="s">
        <v>374</v>
      </c>
      <c r="F56" s="34" t="s">
        <v>69</v>
      </c>
      <c r="G56" s="35">
        <v>1</v>
      </c>
      <c r="H56" s="35">
        <v>0.91666666666666663</v>
      </c>
      <c r="I56" s="35" t="s">
        <v>1129</v>
      </c>
      <c r="J56" s="36">
        <v>26</v>
      </c>
      <c r="K56" s="36">
        <v>6400</v>
      </c>
    </row>
    <row r="57" spans="1:11" x14ac:dyDescent="0.2">
      <c r="A57" s="33" t="s">
        <v>3206</v>
      </c>
      <c r="B57" s="33" t="s">
        <v>1099</v>
      </c>
      <c r="C57" s="33" t="str">
        <f t="shared" si="0"/>
        <v xml:space="preserve">  p-Dimethylaminoazobenzene</v>
      </c>
      <c r="D57" s="33" t="s">
        <v>2825</v>
      </c>
      <c r="E57" s="33" t="s">
        <v>392</v>
      </c>
      <c r="F57" s="34" t="s">
        <v>69</v>
      </c>
      <c r="G57" s="35">
        <v>0.375</v>
      </c>
      <c r="H57" s="35">
        <v>0.85</v>
      </c>
      <c r="I57" s="35" t="s">
        <v>1130</v>
      </c>
      <c r="J57" s="36">
        <v>2800</v>
      </c>
      <c r="K57" s="36">
        <v>1600</v>
      </c>
    </row>
    <row r="58" spans="1:11" x14ac:dyDescent="0.2">
      <c r="A58" s="33" t="s">
        <v>2876</v>
      </c>
      <c r="B58" s="33" t="s">
        <v>1099</v>
      </c>
      <c r="C58" s="33" t="str">
        <f t="shared" si="0"/>
        <v xml:space="preserve">  o-Aminoazotoluene</v>
      </c>
      <c r="D58" s="33" t="s">
        <v>3161</v>
      </c>
      <c r="E58" s="33" t="s">
        <v>401</v>
      </c>
      <c r="F58" s="34" t="s">
        <v>69</v>
      </c>
      <c r="G58" s="35">
        <v>0.875</v>
      </c>
      <c r="H58" s="35">
        <v>0.25</v>
      </c>
      <c r="I58" s="35" t="s">
        <v>1131</v>
      </c>
      <c r="J58" s="36">
        <v>376</v>
      </c>
      <c r="K58" s="36">
        <v>767</v>
      </c>
    </row>
    <row r="59" spans="1:11" x14ac:dyDescent="0.2">
      <c r="A59" s="33" t="s">
        <v>3200</v>
      </c>
      <c r="B59" s="33" t="s">
        <v>1099</v>
      </c>
      <c r="C59" s="33" t="str">
        <f t="shared" si="0"/>
        <v xml:space="preserve">  3,3'-Dimethoxybenzidine</v>
      </c>
      <c r="D59" s="33" t="s">
        <v>950</v>
      </c>
      <c r="E59" s="33" t="s">
        <v>399</v>
      </c>
      <c r="F59" s="34" t="s">
        <v>69</v>
      </c>
      <c r="G59" s="35">
        <v>0.875</v>
      </c>
      <c r="H59" s="35">
        <v>0.96666666666666667</v>
      </c>
      <c r="I59" s="35" t="s">
        <v>1132</v>
      </c>
      <c r="J59" s="36">
        <v>171</v>
      </c>
      <c r="K59" s="36">
        <v>51000</v>
      </c>
    </row>
    <row r="60" spans="1:11" x14ac:dyDescent="0.2">
      <c r="A60" s="33" t="s">
        <v>3198</v>
      </c>
      <c r="B60" s="33" t="s">
        <v>1099</v>
      </c>
      <c r="C60" s="33" t="str">
        <f t="shared" si="0"/>
        <v xml:space="preserve">  3,3'-Dimethylbenzidine</v>
      </c>
      <c r="D60" s="33" t="s">
        <v>2748</v>
      </c>
      <c r="E60" s="33" t="s">
        <v>403</v>
      </c>
      <c r="F60" s="34" t="s">
        <v>69</v>
      </c>
      <c r="G60" s="35">
        <v>1</v>
      </c>
      <c r="H60" s="35">
        <v>0.85</v>
      </c>
      <c r="I60" s="35" t="s">
        <v>1133</v>
      </c>
      <c r="J60" s="36">
        <v>396</v>
      </c>
      <c r="K60" s="36">
        <v>130000</v>
      </c>
    </row>
    <row r="61" spans="1:11" x14ac:dyDescent="0.2">
      <c r="A61" s="33" t="s">
        <v>1134</v>
      </c>
      <c r="B61" s="33" t="s">
        <v>1099</v>
      </c>
      <c r="C61" s="33" t="str">
        <f t="shared" si="0"/>
        <v xml:space="preserve">  o-Toluidine</v>
      </c>
      <c r="D61" s="33" t="s">
        <v>1134</v>
      </c>
      <c r="E61" s="33" t="s">
        <v>430</v>
      </c>
      <c r="F61" s="33">
        <v>1</v>
      </c>
      <c r="G61" s="35">
        <v>1</v>
      </c>
      <c r="H61" s="35">
        <v>0.78333333333333333</v>
      </c>
      <c r="I61" s="35" t="s">
        <v>1135</v>
      </c>
      <c r="J61" s="36">
        <v>1500</v>
      </c>
      <c r="K61" s="36">
        <v>13000</v>
      </c>
    </row>
    <row r="62" spans="1:11" x14ac:dyDescent="0.2">
      <c r="A62" s="33" t="s">
        <v>3183</v>
      </c>
      <c r="B62" s="33" t="s">
        <v>1099</v>
      </c>
      <c r="C62" s="33" t="str">
        <f t="shared" si="0"/>
        <v xml:space="preserve">  2-Phenylphenol</v>
      </c>
      <c r="D62" s="33" t="s">
        <v>2143</v>
      </c>
      <c r="E62" s="33" t="s">
        <v>371</v>
      </c>
      <c r="F62" s="33" t="s">
        <v>1044</v>
      </c>
      <c r="G62" s="35">
        <v>0.375</v>
      </c>
      <c r="H62" s="35">
        <v>0.6333333333333333</v>
      </c>
      <c r="I62" s="35" t="s">
        <v>1136</v>
      </c>
      <c r="J62" s="36">
        <v>29</v>
      </c>
      <c r="K62" s="36">
        <v>159</v>
      </c>
    </row>
    <row r="63" spans="1:11" x14ac:dyDescent="0.2">
      <c r="A63" s="33" t="s">
        <v>1137</v>
      </c>
      <c r="B63" s="33" t="s">
        <v>1099</v>
      </c>
      <c r="C63" s="33" t="str">
        <f t="shared" si="0"/>
        <v xml:space="preserve">  p-Aminoazobenzene</v>
      </c>
      <c r="D63" s="33" t="s">
        <v>1137</v>
      </c>
      <c r="E63" s="33" t="s">
        <v>383</v>
      </c>
      <c r="F63" s="34" t="s">
        <v>69</v>
      </c>
      <c r="G63" s="35">
        <v>0.25</v>
      </c>
      <c r="H63" s="35">
        <v>0.38333333333333341</v>
      </c>
      <c r="I63" s="35" t="s">
        <v>1138</v>
      </c>
      <c r="J63" s="36">
        <v>28</v>
      </c>
      <c r="K63" s="36">
        <v>23</v>
      </c>
    </row>
    <row r="64" spans="1:11" x14ac:dyDescent="0.2">
      <c r="A64" s="33" t="s">
        <v>3195</v>
      </c>
      <c r="B64" s="33" t="s">
        <v>1099</v>
      </c>
      <c r="C64" s="33" t="str">
        <f t="shared" si="0"/>
        <v xml:space="preserve">  2,4,5-Trimethylaniline</v>
      </c>
      <c r="D64" s="33" t="s">
        <v>2896</v>
      </c>
      <c r="E64" s="33" t="s">
        <v>365</v>
      </c>
      <c r="F64" s="33" t="s">
        <v>1044</v>
      </c>
      <c r="G64" s="35">
        <v>0.25</v>
      </c>
      <c r="H64" s="35">
        <v>1.666666666666667E-2</v>
      </c>
      <c r="I64" s="35" t="s">
        <v>1139</v>
      </c>
      <c r="J64" s="36">
        <v>342</v>
      </c>
      <c r="K64" s="36">
        <v>123</v>
      </c>
    </row>
    <row r="65" spans="1:11" x14ac:dyDescent="0.2">
      <c r="A65" s="33" t="s">
        <v>1140</v>
      </c>
      <c r="B65" s="33" t="s">
        <v>1141</v>
      </c>
      <c r="C65" s="33" t="str">
        <f t="shared" si="0"/>
        <v xml:space="preserve">  Ethyl myristate</v>
      </c>
      <c r="D65" s="33" t="s">
        <v>1140</v>
      </c>
      <c r="E65" s="33" t="s">
        <v>132</v>
      </c>
      <c r="F65" s="34"/>
      <c r="G65" s="35">
        <v>0.875</v>
      </c>
      <c r="H65" s="35">
        <v>0.51666666666666672</v>
      </c>
      <c r="I65" s="35" t="s">
        <v>1142</v>
      </c>
      <c r="J65" s="36">
        <v>51</v>
      </c>
      <c r="K65" s="36">
        <v>1500</v>
      </c>
    </row>
    <row r="66" spans="1:11" x14ac:dyDescent="0.2">
      <c r="A66" s="33" t="s">
        <v>1143</v>
      </c>
      <c r="B66" s="33" t="s">
        <v>1141</v>
      </c>
      <c r="C66" s="33" t="str">
        <f t="shared" si="0"/>
        <v xml:space="preserve">  Ethyl oleate</v>
      </c>
      <c r="D66" s="33" t="s">
        <v>1143</v>
      </c>
      <c r="E66" s="33" t="s">
        <v>128</v>
      </c>
      <c r="F66" s="34"/>
      <c r="G66" s="35">
        <v>0.625</v>
      </c>
      <c r="H66" s="35">
        <v>0.6166666666666667</v>
      </c>
      <c r="I66" s="35" t="s">
        <v>1144</v>
      </c>
      <c r="J66" s="36">
        <v>3300</v>
      </c>
      <c r="K66" s="36">
        <v>82000</v>
      </c>
    </row>
    <row r="67" spans="1:11" x14ac:dyDescent="0.2">
      <c r="A67" s="33" t="s">
        <v>1145</v>
      </c>
      <c r="B67" s="33" t="s">
        <v>1141</v>
      </c>
      <c r="C67" s="33" t="str">
        <f t="shared" ref="C67:C130" si="1">_xlfn.CONCAT("  ",D67)</f>
        <v xml:space="preserve">  Ethyl palmitate</v>
      </c>
      <c r="D67" s="33" t="s">
        <v>1145</v>
      </c>
      <c r="E67" s="33" t="s">
        <v>130</v>
      </c>
      <c r="F67" s="34"/>
      <c r="G67" s="35">
        <v>1</v>
      </c>
      <c r="H67" s="35">
        <v>0.56666666666666665</v>
      </c>
      <c r="I67" s="35" t="s">
        <v>1146</v>
      </c>
      <c r="J67" s="36">
        <v>20000</v>
      </c>
      <c r="K67" s="36">
        <v>1100</v>
      </c>
    </row>
    <row r="68" spans="1:11" x14ac:dyDescent="0.2">
      <c r="A68" s="33" t="s">
        <v>3187</v>
      </c>
      <c r="B68" s="33" t="s">
        <v>1147</v>
      </c>
      <c r="C68" s="33" t="str">
        <f t="shared" si="1"/>
        <v xml:space="preserve">  2,6-Dinitrotoluene</v>
      </c>
      <c r="D68" s="33" t="s">
        <v>2258</v>
      </c>
      <c r="E68" s="33" t="s">
        <v>353</v>
      </c>
      <c r="F68" s="34" t="s">
        <v>69</v>
      </c>
      <c r="G68" s="35">
        <v>0.375</v>
      </c>
      <c r="H68" s="35">
        <v>0.8833333333333333</v>
      </c>
      <c r="I68" s="35" t="s">
        <v>1148</v>
      </c>
      <c r="J68" s="36">
        <v>52</v>
      </c>
      <c r="K68" s="36">
        <v>6900</v>
      </c>
    </row>
    <row r="69" spans="1:11" x14ac:dyDescent="0.2">
      <c r="A69" s="33" t="s">
        <v>2829</v>
      </c>
      <c r="B69" s="33" t="s">
        <v>1147</v>
      </c>
      <c r="C69" s="33" t="str">
        <f t="shared" si="1"/>
        <v xml:space="preserve">  m-Dinitrobenzene</v>
      </c>
      <c r="D69" s="33" t="s">
        <v>2829</v>
      </c>
      <c r="E69" s="33" t="s">
        <v>356</v>
      </c>
      <c r="F69" s="34"/>
      <c r="G69" s="35">
        <v>1</v>
      </c>
      <c r="H69" s="35">
        <v>1</v>
      </c>
      <c r="I69" s="35" t="s">
        <v>1149</v>
      </c>
      <c r="J69" s="36">
        <v>1900</v>
      </c>
      <c r="K69" s="36">
        <v>4100</v>
      </c>
    </row>
    <row r="70" spans="1:11" x14ac:dyDescent="0.2">
      <c r="A70" s="33" t="s">
        <v>1712</v>
      </c>
      <c r="B70" s="33" t="s">
        <v>1150</v>
      </c>
      <c r="C70" s="33" t="str">
        <f t="shared" si="1"/>
        <v xml:space="preserve">  BDE-100</v>
      </c>
      <c r="D70" s="33" t="s">
        <v>1712</v>
      </c>
      <c r="E70" s="33" t="s">
        <v>340</v>
      </c>
      <c r="F70" s="34"/>
      <c r="G70" s="35">
        <v>1</v>
      </c>
      <c r="H70" s="35">
        <v>0.35</v>
      </c>
      <c r="I70" s="35" t="s">
        <v>1151</v>
      </c>
      <c r="J70" s="36">
        <v>906</v>
      </c>
      <c r="K70" s="36">
        <v>142</v>
      </c>
    </row>
    <row r="71" spans="1:11" x14ac:dyDescent="0.2">
      <c r="A71" s="33" t="s">
        <v>1152</v>
      </c>
      <c r="B71" s="33" t="s">
        <v>1150</v>
      </c>
      <c r="C71" s="33" t="str">
        <f t="shared" si="1"/>
        <v xml:space="preserve">  BDE-47</v>
      </c>
      <c r="D71" s="33" t="s">
        <v>1152</v>
      </c>
      <c r="E71" s="33" t="s">
        <v>341</v>
      </c>
      <c r="F71" s="34"/>
      <c r="G71" s="35">
        <v>0.375</v>
      </c>
      <c r="H71" s="35">
        <v>1.666666666666667E-2</v>
      </c>
      <c r="I71" s="35" t="s">
        <v>1153</v>
      </c>
      <c r="J71" s="36">
        <v>47</v>
      </c>
      <c r="K71" s="36">
        <v>17</v>
      </c>
    </row>
    <row r="72" spans="1:11" x14ac:dyDescent="0.2">
      <c r="A72" s="33" t="s">
        <v>928</v>
      </c>
      <c r="B72" s="33" t="s">
        <v>1150</v>
      </c>
      <c r="C72" s="33" t="str">
        <f t="shared" si="1"/>
        <v xml:space="preserve">  Tetrabromobisphenol A bis(allyl ether)</v>
      </c>
      <c r="D72" s="33" t="s">
        <v>927</v>
      </c>
      <c r="E72" s="33" t="s">
        <v>345</v>
      </c>
      <c r="F72" s="34"/>
      <c r="G72" s="35">
        <v>0.25</v>
      </c>
      <c r="H72" s="35">
        <v>0.2</v>
      </c>
      <c r="I72" s="35" t="s">
        <v>1154</v>
      </c>
      <c r="J72" s="36">
        <v>26</v>
      </c>
      <c r="K72" s="36">
        <v>185</v>
      </c>
    </row>
    <row r="73" spans="1:11" x14ac:dyDescent="0.2">
      <c r="A73" s="33" t="s">
        <v>1155</v>
      </c>
      <c r="B73" s="33" t="s">
        <v>1150</v>
      </c>
      <c r="C73" s="33" t="str">
        <f t="shared" si="1"/>
        <v xml:space="preserve">  Tri-P-cresyl phosphate </v>
      </c>
      <c r="D73" s="33" t="s">
        <v>1156</v>
      </c>
      <c r="E73" s="33" t="s">
        <v>321</v>
      </c>
      <c r="F73" s="34"/>
      <c r="G73" s="35">
        <v>0.125</v>
      </c>
      <c r="H73" s="35">
        <v>1.666666666666667E-2</v>
      </c>
      <c r="I73" s="35" t="s">
        <v>1157</v>
      </c>
      <c r="J73" s="36">
        <v>255</v>
      </c>
      <c r="K73" s="36">
        <v>279</v>
      </c>
    </row>
    <row r="74" spans="1:11" x14ac:dyDescent="0.2">
      <c r="A74" s="33" t="s">
        <v>919</v>
      </c>
      <c r="B74" s="33" t="s">
        <v>1150</v>
      </c>
      <c r="C74" s="33" t="str">
        <f t="shared" si="1"/>
        <v xml:space="preserve">  Tris(1,3-dichloro-2-propyl) phosphate</v>
      </c>
      <c r="D74" s="33" t="s">
        <v>3220</v>
      </c>
      <c r="E74" s="33" t="s">
        <v>329</v>
      </c>
      <c r="F74" s="34"/>
      <c r="G74" s="35">
        <v>1</v>
      </c>
      <c r="H74" s="35">
        <v>0.73333333333333328</v>
      </c>
      <c r="I74" s="35" t="s">
        <v>1158</v>
      </c>
      <c r="J74" s="36">
        <v>624</v>
      </c>
      <c r="K74" s="36">
        <v>818</v>
      </c>
    </row>
    <row r="75" spans="1:11" x14ac:dyDescent="0.2">
      <c r="A75" s="33" t="s">
        <v>1159</v>
      </c>
      <c r="B75" s="33" t="s">
        <v>1150</v>
      </c>
      <c r="C75" s="33" t="str">
        <f t="shared" si="1"/>
        <v xml:space="preserve">  Tris(tribromoneopentyl)</v>
      </c>
      <c r="D75" s="33" t="s">
        <v>1160</v>
      </c>
      <c r="E75" s="33" t="s">
        <v>349</v>
      </c>
      <c r="F75" s="34"/>
      <c r="G75" s="35">
        <v>1</v>
      </c>
      <c r="H75" s="35">
        <v>0.26666666666666672</v>
      </c>
      <c r="I75" s="35" t="s">
        <v>1161</v>
      </c>
      <c r="J75" s="36">
        <v>678</v>
      </c>
      <c r="K75" s="36">
        <v>1100000</v>
      </c>
    </row>
    <row r="76" spans="1:11" x14ac:dyDescent="0.2">
      <c r="A76" s="33" t="s">
        <v>1162</v>
      </c>
      <c r="B76" s="33" t="s">
        <v>1150</v>
      </c>
      <c r="C76" s="33" t="str">
        <f t="shared" si="1"/>
        <v xml:space="preserve">  Tris(tribromoneopentyl) phosphate</v>
      </c>
      <c r="D76" s="33" t="s">
        <v>3219</v>
      </c>
      <c r="E76" s="33" t="s">
        <v>338</v>
      </c>
      <c r="F76" s="34"/>
      <c r="G76" s="35">
        <v>0.875</v>
      </c>
      <c r="H76" s="35">
        <v>0.93333333333333335</v>
      </c>
      <c r="I76" s="35" t="s">
        <v>1163</v>
      </c>
      <c r="J76" s="36">
        <v>2500</v>
      </c>
      <c r="K76" s="36">
        <v>3600</v>
      </c>
    </row>
    <row r="77" spans="1:11" x14ac:dyDescent="0.2">
      <c r="A77" s="33" t="s">
        <v>1164</v>
      </c>
      <c r="B77" s="33" t="s">
        <v>1165</v>
      </c>
      <c r="C77" s="33" t="str">
        <f t="shared" si="1"/>
        <v xml:space="preserve">  Acetophenone</v>
      </c>
      <c r="D77" s="33" t="s">
        <v>1164</v>
      </c>
      <c r="E77" s="33" t="s">
        <v>113</v>
      </c>
      <c r="F77" s="34"/>
      <c r="G77" s="35">
        <v>0.25</v>
      </c>
      <c r="H77" s="35">
        <v>0.6</v>
      </c>
      <c r="I77" s="35" t="s">
        <v>1166</v>
      </c>
      <c r="J77" s="36">
        <v>261</v>
      </c>
      <c r="K77" s="36">
        <v>6500</v>
      </c>
    </row>
    <row r="78" spans="1:11" x14ac:dyDescent="0.2">
      <c r="A78" s="33" t="s">
        <v>2970</v>
      </c>
      <c r="B78" s="33" t="s">
        <v>1165</v>
      </c>
      <c r="C78" s="33" t="str">
        <f t="shared" si="1"/>
        <v xml:space="preserve">  Benzyl salicylate</v>
      </c>
      <c r="D78" s="33" t="s">
        <v>2970</v>
      </c>
      <c r="E78" s="33" t="s">
        <v>122</v>
      </c>
      <c r="F78" s="34"/>
      <c r="G78" s="35">
        <v>0.125</v>
      </c>
      <c r="H78" s="35">
        <v>0.28333333333333333</v>
      </c>
      <c r="I78" s="35" t="s">
        <v>1167</v>
      </c>
      <c r="J78" s="36">
        <v>58</v>
      </c>
      <c r="K78" s="36" t="s">
        <v>1168</v>
      </c>
    </row>
    <row r="79" spans="1:11" x14ac:dyDescent="0.2">
      <c r="A79" s="33" t="s">
        <v>2976</v>
      </c>
      <c r="B79" s="33" t="s">
        <v>1165</v>
      </c>
      <c r="C79" s="33" t="str">
        <f t="shared" si="1"/>
        <v xml:space="preserve">  Cinnamyl alcohol</v>
      </c>
      <c r="D79" s="33" t="s">
        <v>2976</v>
      </c>
      <c r="E79" s="33" t="s">
        <v>121</v>
      </c>
      <c r="F79" s="34"/>
      <c r="G79" s="35">
        <v>1</v>
      </c>
      <c r="H79" s="35">
        <v>1</v>
      </c>
      <c r="I79" s="35" t="s">
        <v>1169</v>
      </c>
      <c r="J79" s="36">
        <v>2300</v>
      </c>
      <c r="K79" s="36">
        <v>863</v>
      </c>
    </row>
    <row r="80" spans="1:11" x14ac:dyDescent="0.2">
      <c r="A80" s="33" t="s">
        <v>1170</v>
      </c>
      <c r="B80" s="33" t="s">
        <v>1165</v>
      </c>
      <c r="C80" s="33" t="str">
        <f t="shared" si="1"/>
        <v xml:space="preserve">  Ethyl butyrate</v>
      </c>
      <c r="D80" s="33" t="s">
        <v>1170</v>
      </c>
      <c r="E80" s="33" t="s">
        <v>116</v>
      </c>
      <c r="F80" s="34"/>
      <c r="G80" s="35">
        <v>1</v>
      </c>
      <c r="H80" s="35">
        <v>0.95</v>
      </c>
      <c r="I80" s="35" t="s">
        <v>1171</v>
      </c>
      <c r="J80" s="36">
        <v>591</v>
      </c>
      <c r="K80" s="36">
        <v>166</v>
      </c>
    </row>
    <row r="81" spans="1:11" x14ac:dyDescent="0.2">
      <c r="A81" s="33" t="s">
        <v>2786</v>
      </c>
      <c r="B81" s="33" t="s">
        <v>1165</v>
      </c>
      <c r="C81" s="33" t="str">
        <f t="shared" si="1"/>
        <v xml:space="preserve">  Ethyl caprate</v>
      </c>
      <c r="D81" s="33" t="s">
        <v>2786</v>
      </c>
      <c r="E81" s="33" t="s">
        <v>105</v>
      </c>
      <c r="F81" s="34"/>
      <c r="G81" s="35">
        <v>1</v>
      </c>
      <c r="H81" s="35">
        <v>0.96666666666666667</v>
      </c>
      <c r="I81" s="35" t="s">
        <v>1173</v>
      </c>
      <c r="J81" s="36">
        <v>963</v>
      </c>
      <c r="K81" s="36">
        <v>6600</v>
      </c>
    </row>
    <row r="82" spans="1:11" x14ac:dyDescent="0.2">
      <c r="A82" s="33" t="s">
        <v>1174</v>
      </c>
      <c r="B82" s="33" t="s">
        <v>1165</v>
      </c>
      <c r="C82" s="33" t="str">
        <f t="shared" si="1"/>
        <v xml:space="preserve">  Ethyl caproate</v>
      </c>
      <c r="D82" s="33" t="s">
        <v>1174</v>
      </c>
      <c r="E82" s="33" t="s">
        <v>84</v>
      </c>
      <c r="F82" s="34"/>
      <c r="G82" s="35">
        <v>1</v>
      </c>
      <c r="H82" s="35">
        <v>0.91666666666666663</v>
      </c>
      <c r="I82" s="35" t="s">
        <v>1175</v>
      </c>
      <c r="J82" s="36">
        <v>691</v>
      </c>
      <c r="K82" s="36">
        <v>14</v>
      </c>
    </row>
    <row r="83" spans="1:11" x14ac:dyDescent="0.2">
      <c r="A83" s="33" t="s">
        <v>2781</v>
      </c>
      <c r="B83" s="33" t="s">
        <v>1165</v>
      </c>
      <c r="C83" s="33" t="str">
        <f t="shared" si="1"/>
        <v xml:space="preserve">  Ethyl caprylate</v>
      </c>
      <c r="D83" s="33" t="s">
        <v>2781</v>
      </c>
      <c r="E83" s="33" t="s">
        <v>108</v>
      </c>
      <c r="F83" s="34"/>
      <c r="G83" s="35">
        <v>0.75</v>
      </c>
      <c r="H83" s="35">
        <v>0.48333333333333328</v>
      </c>
      <c r="I83" s="35" t="s">
        <v>1176</v>
      </c>
      <c r="J83" s="36">
        <v>75</v>
      </c>
      <c r="K83" s="36">
        <v>74</v>
      </c>
    </row>
    <row r="84" spans="1:11" x14ac:dyDescent="0.2">
      <c r="A84" s="33" t="s">
        <v>1177</v>
      </c>
      <c r="B84" s="33" t="s">
        <v>1165</v>
      </c>
      <c r="C84" s="33" t="str">
        <f t="shared" si="1"/>
        <v xml:space="preserve">  Ethyl heptanoate</v>
      </c>
      <c r="D84" s="33" t="s">
        <v>1177</v>
      </c>
      <c r="E84" s="33" t="s">
        <v>91</v>
      </c>
      <c r="F84" s="34"/>
      <c r="G84" s="35">
        <v>1</v>
      </c>
      <c r="H84" s="35">
        <v>0.8833333333333333</v>
      </c>
      <c r="I84" s="35" t="s">
        <v>1178</v>
      </c>
      <c r="J84" s="36">
        <v>16000</v>
      </c>
      <c r="K84" s="36">
        <v>83</v>
      </c>
    </row>
    <row r="85" spans="1:11" x14ac:dyDescent="0.2">
      <c r="A85" s="33" t="s">
        <v>1179</v>
      </c>
      <c r="B85" s="33" t="s">
        <v>1165</v>
      </c>
      <c r="C85" s="33" t="str">
        <f t="shared" si="1"/>
        <v xml:space="preserve">  Ethyl maltol</v>
      </c>
      <c r="D85" s="33" t="s">
        <v>1179</v>
      </c>
      <c r="E85" s="33" t="s">
        <v>79</v>
      </c>
      <c r="F85" s="34"/>
      <c r="G85" s="35">
        <v>1</v>
      </c>
      <c r="H85" s="35">
        <v>0.53333333333333333</v>
      </c>
      <c r="I85" s="35" t="s">
        <v>1180</v>
      </c>
      <c r="J85" s="36">
        <v>1900</v>
      </c>
      <c r="K85" s="36">
        <v>84000</v>
      </c>
    </row>
    <row r="86" spans="1:11" x14ac:dyDescent="0.2">
      <c r="A86" s="33" t="s">
        <v>2784</v>
      </c>
      <c r="B86" s="33" t="s">
        <v>1165</v>
      </c>
      <c r="C86" s="33" t="str">
        <f t="shared" si="1"/>
        <v xml:space="preserve">  Ethyl pelargonate</v>
      </c>
      <c r="D86" s="33" t="s">
        <v>2784</v>
      </c>
      <c r="E86" s="33" t="s">
        <v>110</v>
      </c>
      <c r="F86" s="34"/>
      <c r="G86" s="35">
        <v>1</v>
      </c>
      <c r="H86" s="35">
        <v>1</v>
      </c>
      <c r="I86" s="35" t="s">
        <v>1182</v>
      </c>
      <c r="J86" s="36">
        <v>339</v>
      </c>
      <c r="K86" s="36">
        <v>130</v>
      </c>
    </row>
    <row r="87" spans="1:11" x14ac:dyDescent="0.2">
      <c r="A87" s="33" t="s">
        <v>2794</v>
      </c>
      <c r="B87" s="33" t="s">
        <v>1165</v>
      </c>
      <c r="C87" s="33" t="str">
        <f t="shared" si="1"/>
        <v xml:space="preserve">  Ethyl stearate</v>
      </c>
      <c r="D87" s="33" t="s">
        <v>2794</v>
      </c>
      <c r="E87" s="33" t="s">
        <v>107</v>
      </c>
      <c r="F87" s="34"/>
      <c r="G87" s="35">
        <v>0.75</v>
      </c>
      <c r="H87" s="35">
        <v>1</v>
      </c>
      <c r="I87" s="35" t="s">
        <v>1184</v>
      </c>
      <c r="J87" s="36">
        <v>20000</v>
      </c>
      <c r="K87" s="36">
        <v>1100</v>
      </c>
    </row>
    <row r="88" spans="1:11" x14ac:dyDescent="0.2">
      <c r="A88" s="33" t="s">
        <v>1185</v>
      </c>
      <c r="B88" s="33" t="s">
        <v>1165</v>
      </c>
      <c r="C88" s="33" t="str">
        <f t="shared" si="1"/>
        <v xml:space="preserve">  Ethyl valerate</v>
      </c>
      <c r="D88" s="33" t="s">
        <v>1185</v>
      </c>
      <c r="E88" s="33" t="s">
        <v>82</v>
      </c>
      <c r="F88" s="34"/>
      <c r="G88" s="35">
        <v>1</v>
      </c>
      <c r="H88" s="35">
        <v>0.8666666666666667</v>
      </c>
      <c r="I88" s="35" t="s">
        <v>1175</v>
      </c>
      <c r="J88" s="36">
        <v>405</v>
      </c>
      <c r="K88" s="36">
        <v>44</v>
      </c>
    </row>
    <row r="89" spans="1:11" x14ac:dyDescent="0.2">
      <c r="A89" s="33" t="s">
        <v>1186</v>
      </c>
      <c r="B89" s="33" t="s">
        <v>1165</v>
      </c>
      <c r="C89" s="33" t="str">
        <f t="shared" si="1"/>
        <v xml:space="preserve">  Ethyl vanillin</v>
      </c>
      <c r="D89" s="33" t="s">
        <v>1186</v>
      </c>
      <c r="E89" s="33" t="s">
        <v>80</v>
      </c>
      <c r="F89" s="34"/>
      <c r="G89" s="35">
        <v>1</v>
      </c>
      <c r="H89" s="35">
        <v>0.93333333333333335</v>
      </c>
      <c r="I89" s="35" t="s">
        <v>1187</v>
      </c>
      <c r="J89" s="36">
        <v>1600</v>
      </c>
      <c r="K89" s="36">
        <v>352</v>
      </c>
    </row>
    <row r="90" spans="1:11" x14ac:dyDescent="0.2">
      <c r="A90" s="33" t="s">
        <v>983</v>
      </c>
      <c r="B90" s="33" t="s">
        <v>1165</v>
      </c>
      <c r="C90" s="33" t="str">
        <f t="shared" si="1"/>
        <v xml:space="preserve">  4-Hydroxy-2,5-dimethyl-3(2H)-furanone</v>
      </c>
      <c r="D90" s="33" t="s">
        <v>982</v>
      </c>
      <c r="E90" s="33" t="s">
        <v>98</v>
      </c>
      <c r="F90" s="34"/>
      <c r="G90" s="35">
        <v>0.875</v>
      </c>
      <c r="H90" s="35">
        <v>0.1333333333333333</v>
      </c>
      <c r="I90" s="35" t="s">
        <v>1188</v>
      </c>
      <c r="J90" s="36">
        <v>4900</v>
      </c>
      <c r="K90" s="36">
        <v>16000</v>
      </c>
    </row>
    <row r="91" spans="1:11" x14ac:dyDescent="0.2">
      <c r="A91" s="33" t="s">
        <v>1189</v>
      </c>
      <c r="B91" s="33" t="s">
        <v>1165</v>
      </c>
      <c r="C91" s="33" t="str">
        <f t="shared" si="1"/>
        <v xml:space="preserve">  Hexanoic acid</v>
      </c>
      <c r="D91" s="33" t="s">
        <v>1189</v>
      </c>
      <c r="E91" s="33" t="s">
        <v>115</v>
      </c>
      <c r="F91" s="34"/>
      <c r="G91" s="35">
        <v>1</v>
      </c>
      <c r="H91" s="35">
        <v>0.95</v>
      </c>
      <c r="I91" s="35" t="s">
        <v>1190</v>
      </c>
      <c r="J91" s="36">
        <v>1100</v>
      </c>
      <c r="K91" s="36">
        <v>39000</v>
      </c>
    </row>
    <row r="92" spans="1:11" x14ac:dyDescent="0.2">
      <c r="A92" s="33" t="s">
        <v>1191</v>
      </c>
      <c r="B92" s="33" t="s">
        <v>1165</v>
      </c>
      <c r="C92" s="33" t="str">
        <f t="shared" si="1"/>
        <v xml:space="preserve">  Hydroxycitronellal</v>
      </c>
      <c r="D92" s="33" t="s">
        <v>1191</v>
      </c>
      <c r="E92" s="33" t="s">
        <v>95</v>
      </c>
      <c r="F92" s="34"/>
      <c r="G92" s="35">
        <v>0.75</v>
      </c>
      <c r="H92" s="35">
        <v>0.76666666666666672</v>
      </c>
      <c r="I92" s="35" t="s">
        <v>1192</v>
      </c>
      <c r="J92" s="36">
        <v>271</v>
      </c>
      <c r="K92" s="36">
        <v>5800</v>
      </c>
    </row>
    <row r="93" spans="1:11" x14ac:dyDescent="0.2">
      <c r="A93" s="33" t="s">
        <v>1193</v>
      </c>
      <c r="B93" s="33" t="s">
        <v>1165</v>
      </c>
      <c r="C93" s="33" t="str">
        <f t="shared" si="1"/>
        <v xml:space="preserve">  Isosafrole</v>
      </c>
      <c r="D93" s="33" t="s">
        <v>1193</v>
      </c>
      <c r="E93" s="33" t="s">
        <v>65</v>
      </c>
      <c r="F93" s="33" t="s">
        <v>1044</v>
      </c>
      <c r="G93" s="35">
        <v>1</v>
      </c>
      <c r="H93" s="35">
        <v>0.8833333333333333</v>
      </c>
      <c r="I93" s="35" t="s">
        <v>1194</v>
      </c>
      <c r="J93" s="36">
        <v>20000</v>
      </c>
      <c r="K93" s="36">
        <v>1900</v>
      </c>
    </row>
    <row r="94" spans="1:11" x14ac:dyDescent="0.2">
      <c r="A94" s="33" t="s">
        <v>1195</v>
      </c>
      <c r="B94" s="33" t="s">
        <v>1165</v>
      </c>
      <c r="C94" s="33" t="str">
        <f t="shared" si="1"/>
        <v xml:space="preserve">  (-)-Menthol</v>
      </c>
      <c r="D94" s="33" t="s">
        <v>1196</v>
      </c>
      <c r="E94" s="33" t="s">
        <v>76</v>
      </c>
      <c r="F94" s="34"/>
      <c r="G94" s="35">
        <v>1</v>
      </c>
      <c r="H94" s="35">
        <v>1</v>
      </c>
      <c r="I94" s="35" t="s">
        <v>1197</v>
      </c>
      <c r="J94" s="36">
        <v>2500</v>
      </c>
      <c r="K94" s="36">
        <v>2500</v>
      </c>
    </row>
    <row r="95" spans="1:11" x14ac:dyDescent="0.2">
      <c r="A95" s="33" t="s">
        <v>1198</v>
      </c>
      <c r="B95" s="33" t="s">
        <v>1165</v>
      </c>
      <c r="C95" s="33" t="str">
        <f t="shared" si="1"/>
        <v xml:space="preserve">  Menthone</v>
      </c>
      <c r="D95" s="33" t="s">
        <v>1198</v>
      </c>
      <c r="E95" s="33" t="s">
        <v>111</v>
      </c>
      <c r="F95" s="34"/>
      <c r="G95" s="35">
        <v>1</v>
      </c>
      <c r="H95" s="35">
        <v>0.73333333333333328</v>
      </c>
      <c r="I95" s="35" t="s">
        <v>1199</v>
      </c>
      <c r="J95" s="36">
        <v>316</v>
      </c>
      <c r="K95" s="36">
        <v>331</v>
      </c>
    </row>
    <row r="96" spans="1:11" x14ac:dyDescent="0.2">
      <c r="A96" s="33" t="s">
        <v>1200</v>
      </c>
      <c r="B96" s="33" t="s">
        <v>1165</v>
      </c>
      <c r="C96" s="33" t="str">
        <f t="shared" si="1"/>
        <v xml:space="preserve">  Safrole</v>
      </c>
      <c r="D96" s="33" t="s">
        <v>1200</v>
      </c>
      <c r="E96" s="33" t="s">
        <v>70</v>
      </c>
      <c r="F96" s="34" t="s">
        <v>69</v>
      </c>
      <c r="G96" s="35">
        <v>0.75</v>
      </c>
      <c r="H96" s="35">
        <v>1</v>
      </c>
      <c r="I96" s="35" t="s">
        <v>1201</v>
      </c>
      <c r="J96" s="36">
        <v>145</v>
      </c>
      <c r="K96" s="36">
        <v>156</v>
      </c>
    </row>
    <row r="97" spans="1:11" x14ac:dyDescent="0.2">
      <c r="A97" s="33" t="s">
        <v>1202</v>
      </c>
      <c r="B97" s="33" t="s">
        <v>1165</v>
      </c>
      <c r="C97" s="33" t="str">
        <f t="shared" si="1"/>
        <v xml:space="preserve">  Thymol</v>
      </c>
      <c r="D97" s="33" t="s">
        <v>1202</v>
      </c>
      <c r="E97" s="33" t="s">
        <v>118</v>
      </c>
      <c r="F97" s="34"/>
      <c r="G97" s="35">
        <v>0.125</v>
      </c>
      <c r="H97" s="35">
        <v>1</v>
      </c>
      <c r="I97" s="35" t="s">
        <v>1203</v>
      </c>
      <c r="J97" s="36">
        <v>283</v>
      </c>
      <c r="K97" s="36">
        <v>104</v>
      </c>
    </row>
    <row r="98" spans="1:11" x14ac:dyDescent="0.2">
      <c r="A98" s="33" t="s">
        <v>1204</v>
      </c>
      <c r="B98" s="33" t="s">
        <v>1165</v>
      </c>
      <c r="C98" s="33" t="str">
        <f t="shared" si="1"/>
        <v xml:space="preserve">  Vanillin</v>
      </c>
      <c r="D98" s="33" t="s">
        <v>1204</v>
      </c>
      <c r="E98" s="33" t="s">
        <v>71</v>
      </c>
      <c r="F98" s="34"/>
      <c r="G98" s="35">
        <v>1</v>
      </c>
      <c r="H98" s="35">
        <v>0.9</v>
      </c>
      <c r="I98" s="35" t="s">
        <v>1205</v>
      </c>
      <c r="J98" s="36">
        <v>1200</v>
      </c>
      <c r="K98" s="36">
        <v>2500</v>
      </c>
    </row>
    <row r="99" spans="1:11" x14ac:dyDescent="0.2">
      <c r="A99" s="33" t="s">
        <v>1206</v>
      </c>
      <c r="B99" s="33" t="s">
        <v>1207</v>
      </c>
      <c r="C99" s="33" t="str">
        <f t="shared" si="1"/>
        <v xml:space="preserve">  Captan</v>
      </c>
      <c r="D99" s="33" t="s">
        <v>1206</v>
      </c>
      <c r="E99" s="33" t="s">
        <v>945</v>
      </c>
      <c r="F99" s="33" t="s">
        <v>1044</v>
      </c>
      <c r="G99" s="35">
        <v>1</v>
      </c>
      <c r="H99" s="35">
        <v>0.98333333333333328</v>
      </c>
      <c r="I99" s="35" t="s">
        <v>1208</v>
      </c>
      <c r="J99" s="36">
        <v>7900</v>
      </c>
      <c r="K99" s="36">
        <v>3100</v>
      </c>
    </row>
    <row r="100" spans="1:11" x14ac:dyDescent="0.2">
      <c r="A100" s="33" t="s">
        <v>2061</v>
      </c>
      <c r="B100" s="33" t="s">
        <v>1207</v>
      </c>
      <c r="C100" s="33" t="str">
        <f t="shared" si="1"/>
        <v xml:space="preserve">  Cyprodinil</v>
      </c>
      <c r="D100" s="33" t="s">
        <v>2061</v>
      </c>
      <c r="E100" s="33" t="s">
        <v>991</v>
      </c>
      <c r="F100" s="34"/>
      <c r="G100" s="35">
        <v>1</v>
      </c>
      <c r="H100" s="35">
        <v>0.5</v>
      </c>
      <c r="I100" s="35" t="s">
        <v>1209</v>
      </c>
      <c r="J100" s="36">
        <v>732</v>
      </c>
      <c r="K100" s="36">
        <v>859</v>
      </c>
    </row>
    <row r="101" spans="1:11" x14ac:dyDescent="0.2">
      <c r="A101" s="33" t="s">
        <v>1210</v>
      </c>
      <c r="B101" s="33" t="s">
        <v>1207</v>
      </c>
      <c r="C101" s="33" t="str">
        <f t="shared" si="1"/>
        <v xml:space="preserve">  Dichlofluanid</v>
      </c>
      <c r="D101" s="33" t="s">
        <v>1210</v>
      </c>
      <c r="E101" s="33" t="s">
        <v>940</v>
      </c>
      <c r="F101" s="34"/>
      <c r="G101" s="35">
        <v>1</v>
      </c>
      <c r="H101" s="35">
        <v>0.66666666666666663</v>
      </c>
      <c r="I101" s="35" t="s">
        <v>1211</v>
      </c>
      <c r="J101" s="36" t="s">
        <v>1168</v>
      </c>
      <c r="K101" s="36">
        <v>4700</v>
      </c>
    </row>
    <row r="102" spans="1:11" x14ac:dyDescent="0.2">
      <c r="A102" s="33" t="s">
        <v>1212</v>
      </c>
      <c r="B102" s="33" t="s">
        <v>1207</v>
      </c>
      <c r="C102" s="33" t="str">
        <f t="shared" si="1"/>
        <v xml:space="preserve">  Fluquinconazole</v>
      </c>
      <c r="D102" s="33" t="s">
        <v>1212</v>
      </c>
      <c r="E102" s="33" t="s">
        <v>968</v>
      </c>
      <c r="F102" s="34"/>
      <c r="G102" s="35">
        <v>1</v>
      </c>
      <c r="H102" s="35">
        <v>1</v>
      </c>
      <c r="I102" s="35" t="s">
        <v>1213</v>
      </c>
      <c r="J102" s="36">
        <v>1200</v>
      </c>
      <c r="K102" s="36">
        <v>129</v>
      </c>
    </row>
    <row r="103" spans="1:11" x14ac:dyDescent="0.2">
      <c r="A103" s="33" t="s">
        <v>1214</v>
      </c>
      <c r="B103" s="33" t="s">
        <v>1207</v>
      </c>
      <c r="C103" s="33" t="str">
        <f t="shared" si="1"/>
        <v xml:space="preserve">  Flutriafol</v>
      </c>
      <c r="D103" s="33" t="s">
        <v>1214</v>
      </c>
      <c r="E103" s="33" t="s">
        <v>965</v>
      </c>
      <c r="F103" s="34"/>
      <c r="G103" s="35">
        <v>1</v>
      </c>
      <c r="H103" s="35">
        <v>0.98333333333333328</v>
      </c>
      <c r="I103" s="35" t="s">
        <v>1215</v>
      </c>
      <c r="J103" s="36">
        <v>340000</v>
      </c>
      <c r="K103" s="36">
        <v>8600</v>
      </c>
    </row>
    <row r="104" spans="1:11" x14ac:dyDescent="0.2">
      <c r="A104" s="33" t="s">
        <v>2081</v>
      </c>
      <c r="B104" s="33" t="s">
        <v>1207</v>
      </c>
      <c r="C104" s="33" t="str">
        <f t="shared" si="1"/>
        <v xml:space="preserve">  Folpet</v>
      </c>
      <c r="D104" s="33" t="s">
        <v>2081</v>
      </c>
      <c r="E104" s="33" t="s">
        <v>949</v>
      </c>
      <c r="F104" s="34"/>
      <c r="G104" s="35">
        <v>0.75</v>
      </c>
      <c r="H104" s="35">
        <v>0.98333333333333328</v>
      </c>
      <c r="I104" s="35" t="s">
        <v>1216</v>
      </c>
      <c r="J104" s="36">
        <v>583</v>
      </c>
      <c r="K104" s="36">
        <v>10000</v>
      </c>
    </row>
    <row r="105" spans="1:11" x14ac:dyDescent="0.2">
      <c r="A105" s="33" t="s">
        <v>1217</v>
      </c>
      <c r="B105" s="33" t="s">
        <v>1207</v>
      </c>
      <c r="C105" s="33" t="str">
        <f t="shared" si="1"/>
        <v xml:space="preserve">  Hexachlorobenzene </v>
      </c>
      <c r="D105" s="33" t="s">
        <v>1218</v>
      </c>
      <c r="E105" s="33" t="s">
        <v>959</v>
      </c>
      <c r="F105" s="34" t="s">
        <v>69</v>
      </c>
      <c r="G105" s="35">
        <v>0.625</v>
      </c>
      <c r="H105" s="35">
        <v>0.2166666666666667</v>
      </c>
      <c r="I105" s="35" t="s">
        <v>1219</v>
      </c>
      <c r="J105" s="36">
        <v>7</v>
      </c>
      <c r="K105" s="36">
        <v>19</v>
      </c>
    </row>
    <row r="106" spans="1:11" x14ac:dyDescent="0.2">
      <c r="A106" s="33" t="s">
        <v>1220</v>
      </c>
      <c r="B106" s="33" t="s">
        <v>1207</v>
      </c>
      <c r="C106" s="33" t="str">
        <f t="shared" si="1"/>
        <v xml:space="preserve">  Metalaxyl</v>
      </c>
      <c r="D106" s="33" t="s">
        <v>1220</v>
      </c>
      <c r="E106" s="33" t="s">
        <v>930</v>
      </c>
      <c r="F106" s="34"/>
      <c r="G106" s="35">
        <v>1</v>
      </c>
      <c r="H106" s="35">
        <v>0.83333333333333337</v>
      </c>
      <c r="I106" s="35" t="s">
        <v>1221</v>
      </c>
      <c r="J106" s="36">
        <v>1100</v>
      </c>
      <c r="K106" s="36">
        <v>307</v>
      </c>
    </row>
    <row r="107" spans="1:11" x14ac:dyDescent="0.2">
      <c r="A107" s="33" t="s">
        <v>1222</v>
      </c>
      <c r="B107" s="33" t="s">
        <v>1207</v>
      </c>
      <c r="C107" s="33" t="str">
        <f t="shared" si="1"/>
        <v xml:space="preserve">  Penconazole</v>
      </c>
      <c r="D107" s="33" t="s">
        <v>1222</v>
      </c>
      <c r="E107" s="33" t="s">
        <v>974</v>
      </c>
      <c r="F107" s="34"/>
      <c r="G107" s="35">
        <v>0.75</v>
      </c>
      <c r="H107" s="35">
        <v>0.95</v>
      </c>
      <c r="I107" s="35" t="s">
        <v>1082</v>
      </c>
      <c r="J107" s="36">
        <v>235</v>
      </c>
      <c r="K107" s="36">
        <v>2000</v>
      </c>
    </row>
    <row r="108" spans="1:11" x14ac:dyDescent="0.2">
      <c r="A108" s="33" t="s">
        <v>2036</v>
      </c>
      <c r="B108" s="33" t="s">
        <v>1207</v>
      </c>
      <c r="C108" s="33" t="str">
        <f t="shared" si="1"/>
        <v xml:space="preserve">  Prochloraz</v>
      </c>
      <c r="D108" s="33" t="s">
        <v>2036</v>
      </c>
      <c r="E108" s="33" t="s">
        <v>977</v>
      </c>
      <c r="F108" s="34"/>
      <c r="G108" s="35">
        <v>0.75</v>
      </c>
      <c r="H108" s="35">
        <v>0.35</v>
      </c>
      <c r="I108" s="35" t="s">
        <v>1223</v>
      </c>
      <c r="J108" s="36">
        <v>1200</v>
      </c>
      <c r="K108" s="36">
        <v>3200</v>
      </c>
    </row>
    <row r="109" spans="1:11" x14ac:dyDescent="0.2">
      <c r="A109" s="33" t="s">
        <v>1224</v>
      </c>
      <c r="B109" s="33" t="s">
        <v>1207</v>
      </c>
      <c r="C109" s="33" t="str">
        <f t="shared" si="1"/>
        <v xml:space="preserve">  Pyrimethanil</v>
      </c>
      <c r="D109" s="33" t="s">
        <v>1224</v>
      </c>
      <c r="E109" s="33" t="s">
        <v>988</v>
      </c>
      <c r="F109" s="34"/>
      <c r="G109" s="35">
        <v>0.125</v>
      </c>
      <c r="H109" s="35">
        <v>0.16666666666666671</v>
      </c>
      <c r="I109" s="35" t="s">
        <v>1225</v>
      </c>
      <c r="J109" s="36">
        <v>294</v>
      </c>
      <c r="K109" s="36">
        <v>384</v>
      </c>
    </row>
    <row r="110" spans="1:11" x14ac:dyDescent="0.2">
      <c r="A110" s="33" t="s">
        <v>3180</v>
      </c>
      <c r="B110" s="33" t="s">
        <v>1207</v>
      </c>
      <c r="C110" s="33" t="str">
        <f t="shared" si="1"/>
        <v xml:space="preserve">  Tebuconazole</v>
      </c>
      <c r="D110" s="33" t="s">
        <v>2106</v>
      </c>
      <c r="E110" s="33" t="s">
        <v>981</v>
      </c>
      <c r="F110" s="34"/>
      <c r="G110" s="35">
        <v>0.875</v>
      </c>
      <c r="H110" s="35">
        <v>0.81666666666666665</v>
      </c>
      <c r="I110" s="35" t="s">
        <v>1226</v>
      </c>
      <c r="J110" s="36">
        <v>659</v>
      </c>
      <c r="K110" s="36">
        <v>2700</v>
      </c>
    </row>
    <row r="111" spans="1:11" x14ac:dyDescent="0.2">
      <c r="A111" s="33" t="s">
        <v>1227</v>
      </c>
      <c r="B111" s="33" t="s">
        <v>1207</v>
      </c>
      <c r="C111" s="33" t="str">
        <f t="shared" si="1"/>
        <v xml:space="preserve">  Tolylfluanid</v>
      </c>
      <c r="D111" s="33" t="s">
        <v>1227</v>
      </c>
      <c r="E111" s="33" t="s">
        <v>937</v>
      </c>
      <c r="F111" s="34"/>
      <c r="G111" s="35">
        <v>0.25</v>
      </c>
      <c r="H111" s="35">
        <v>0.78333333333333333</v>
      </c>
      <c r="I111" s="35" t="s">
        <v>1228</v>
      </c>
      <c r="J111" s="36">
        <v>171</v>
      </c>
      <c r="K111" s="36">
        <v>329</v>
      </c>
    </row>
    <row r="112" spans="1:11" x14ac:dyDescent="0.2">
      <c r="A112" s="33" t="s">
        <v>1229</v>
      </c>
      <c r="B112" s="33" t="s">
        <v>1207</v>
      </c>
      <c r="C112" s="33" t="str">
        <f t="shared" si="1"/>
        <v xml:space="preserve">  Triadimefon</v>
      </c>
      <c r="D112" s="33" t="s">
        <v>1229</v>
      </c>
      <c r="E112" s="33" t="s">
        <v>971</v>
      </c>
      <c r="F112" s="34"/>
      <c r="G112" s="35">
        <v>1</v>
      </c>
      <c r="H112" s="35">
        <v>0.9</v>
      </c>
      <c r="I112" s="35" t="s">
        <v>1230</v>
      </c>
      <c r="J112" s="36">
        <v>13000</v>
      </c>
      <c r="K112" s="36">
        <v>1100</v>
      </c>
    </row>
    <row r="113" spans="1:11" x14ac:dyDescent="0.2">
      <c r="A113" s="33" t="s">
        <v>1231</v>
      </c>
      <c r="B113" s="33" t="s">
        <v>1232</v>
      </c>
      <c r="C113" s="33" t="str">
        <f t="shared" si="1"/>
        <v xml:space="preserve">  Acetochlor</v>
      </c>
      <c r="D113" s="33" t="s">
        <v>1231</v>
      </c>
      <c r="E113" s="33" t="s">
        <v>898</v>
      </c>
      <c r="F113" s="34"/>
      <c r="G113" s="35">
        <v>0.375</v>
      </c>
      <c r="H113" s="35">
        <v>0.91666666666666663</v>
      </c>
      <c r="I113" s="35" t="s">
        <v>1233</v>
      </c>
      <c r="J113" s="36">
        <v>35</v>
      </c>
      <c r="K113" s="36">
        <v>32000</v>
      </c>
    </row>
    <row r="114" spans="1:11" x14ac:dyDescent="0.2">
      <c r="A114" s="33" t="s">
        <v>1234</v>
      </c>
      <c r="B114" s="33" t="s">
        <v>1232</v>
      </c>
      <c r="C114" s="33" t="str">
        <f t="shared" si="1"/>
        <v xml:space="preserve">  Alachlor</v>
      </c>
      <c r="D114" s="33" t="s">
        <v>1234</v>
      </c>
      <c r="E114" s="33" t="s">
        <v>897</v>
      </c>
      <c r="F114" s="34"/>
      <c r="G114" s="35">
        <v>0.875</v>
      </c>
      <c r="H114" s="35">
        <v>0.56666666666666665</v>
      </c>
      <c r="I114" s="35" t="s">
        <v>1235</v>
      </c>
      <c r="J114" s="36">
        <v>109</v>
      </c>
      <c r="K114" s="36">
        <v>4600</v>
      </c>
    </row>
    <row r="115" spans="1:11" x14ac:dyDescent="0.2">
      <c r="A115" s="33" t="s">
        <v>3040</v>
      </c>
      <c r="B115" s="33" t="s">
        <v>1232</v>
      </c>
      <c r="C115" s="33" t="str">
        <f t="shared" si="1"/>
        <v xml:space="preserve">  Atraton</v>
      </c>
      <c r="D115" s="33" t="s">
        <v>3040</v>
      </c>
      <c r="E115" s="33" t="s">
        <v>807</v>
      </c>
      <c r="F115" s="34"/>
      <c r="G115" s="35">
        <v>0.125</v>
      </c>
      <c r="H115" s="35">
        <v>0.66666666666666663</v>
      </c>
      <c r="I115" s="35" t="s">
        <v>1236</v>
      </c>
      <c r="J115" s="36">
        <v>150</v>
      </c>
      <c r="K115" s="36">
        <v>463</v>
      </c>
    </row>
    <row r="116" spans="1:11" x14ac:dyDescent="0.2">
      <c r="A116" s="33" t="s">
        <v>2052</v>
      </c>
      <c r="B116" s="33" t="s">
        <v>1232</v>
      </c>
      <c r="C116" s="33" t="str">
        <f t="shared" si="1"/>
        <v xml:space="preserve">  Atrazine</v>
      </c>
      <c r="D116" s="33" t="s">
        <v>2052</v>
      </c>
      <c r="E116" s="33" t="s">
        <v>805</v>
      </c>
      <c r="F116" s="33" t="s">
        <v>1044</v>
      </c>
      <c r="G116" s="35">
        <v>0.375</v>
      </c>
      <c r="H116" s="35">
        <v>0.78333333333333333</v>
      </c>
      <c r="I116" s="35" t="s">
        <v>1237</v>
      </c>
      <c r="J116" s="36">
        <v>12</v>
      </c>
      <c r="K116" s="36">
        <v>18000</v>
      </c>
    </row>
    <row r="117" spans="1:11" x14ac:dyDescent="0.2">
      <c r="A117" s="33" t="s">
        <v>2365</v>
      </c>
      <c r="B117" s="33" t="s">
        <v>1232</v>
      </c>
      <c r="C117" s="33" t="str">
        <f t="shared" si="1"/>
        <v xml:space="preserve">  Bentazon</v>
      </c>
      <c r="D117" s="33" t="s">
        <v>2365</v>
      </c>
      <c r="E117" s="33" t="s">
        <v>784</v>
      </c>
      <c r="F117" s="34"/>
      <c r="G117" s="35">
        <v>0.625</v>
      </c>
      <c r="H117" s="35">
        <v>0.33333333333333331</v>
      </c>
      <c r="I117" s="35" t="s">
        <v>1238</v>
      </c>
      <c r="J117" s="36">
        <v>7</v>
      </c>
      <c r="K117" s="36">
        <v>456</v>
      </c>
    </row>
    <row r="118" spans="1:11" x14ac:dyDescent="0.2">
      <c r="A118" s="33" t="s">
        <v>1239</v>
      </c>
      <c r="B118" s="33" t="s">
        <v>1232</v>
      </c>
      <c r="C118" s="33" t="str">
        <f t="shared" si="1"/>
        <v xml:space="preserve">  Bromacil</v>
      </c>
      <c r="D118" s="33" t="s">
        <v>1239</v>
      </c>
      <c r="E118" s="33" t="s">
        <v>796</v>
      </c>
      <c r="F118" s="34"/>
      <c r="G118" s="35">
        <v>1</v>
      </c>
      <c r="H118" s="35">
        <v>0.91666666666666663</v>
      </c>
      <c r="I118" s="35" t="s">
        <v>1213</v>
      </c>
      <c r="J118" s="36">
        <v>287</v>
      </c>
      <c r="K118" s="36">
        <v>108</v>
      </c>
    </row>
    <row r="119" spans="1:11" x14ac:dyDescent="0.2">
      <c r="A119" s="33" t="s">
        <v>1240</v>
      </c>
      <c r="B119" s="33" t="s">
        <v>1232</v>
      </c>
      <c r="C119" s="33" t="str">
        <f t="shared" si="1"/>
        <v xml:space="preserve">  Butylate</v>
      </c>
      <c r="D119" s="33" t="s">
        <v>1240</v>
      </c>
      <c r="E119" s="33" t="s">
        <v>830</v>
      </c>
      <c r="F119" s="34"/>
      <c r="G119" s="35">
        <v>1</v>
      </c>
      <c r="H119" s="35">
        <v>0.46666666666666667</v>
      </c>
      <c r="I119" s="35" t="s">
        <v>1151</v>
      </c>
      <c r="J119" s="36">
        <v>36</v>
      </c>
      <c r="K119" s="36">
        <v>109</v>
      </c>
    </row>
    <row r="120" spans="1:11" x14ac:dyDescent="0.2">
      <c r="A120" s="33" t="s">
        <v>2002</v>
      </c>
      <c r="B120" s="33" t="s">
        <v>1232</v>
      </c>
      <c r="C120" s="33" t="str">
        <f t="shared" si="1"/>
        <v xml:space="preserve">  Cycloate</v>
      </c>
      <c r="D120" s="33" t="s">
        <v>2002</v>
      </c>
      <c r="E120" s="33" t="s">
        <v>824</v>
      </c>
      <c r="F120" s="34"/>
      <c r="G120" s="35">
        <v>1</v>
      </c>
      <c r="H120" s="35">
        <v>1</v>
      </c>
      <c r="I120" s="35" t="s">
        <v>1241</v>
      </c>
      <c r="J120" s="36" t="s">
        <v>1168</v>
      </c>
      <c r="K120" s="36">
        <v>162</v>
      </c>
    </row>
    <row r="121" spans="1:11" x14ac:dyDescent="0.2">
      <c r="A121" s="33" t="s">
        <v>1242</v>
      </c>
      <c r="B121" s="33" t="s">
        <v>1232</v>
      </c>
      <c r="C121" s="33" t="str">
        <f t="shared" si="1"/>
        <v xml:space="preserve">  Diallate-cis</v>
      </c>
      <c r="D121" s="33" t="s">
        <v>1242</v>
      </c>
      <c r="E121" s="33" t="s">
        <v>820</v>
      </c>
      <c r="F121" s="33" t="s">
        <v>1044</v>
      </c>
      <c r="G121" s="35">
        <v>0.5</v>
      </c>
      <c r="H121" s="35">
        <v>0.66666666666666663</v>
      </c>
      <c r="I121" s="35" t="s">
        <v>1243</v>
      </c>
      <c r="J121" s="36">
        <v>2000</v>
      </c>
      <c r="K121" s="36">
        <v>2500</v>
      </c>
    </row>
    <row r="122" spans="1:11" x14ac:dyDescent="0.2">
      <c r="A122" s="33" t="s">
        <v>2358</v>
      </c>
      <c r="B122" s="33" t="s">
        <v>1232</v>
      </c>
      <c r="C122" s="33" t="str">
        <f t="shared" si="1"/>
        <v xml:space="preserve">  Dicamba</v>
      </c>
      <c r="D122" s="33" t="s">
        <v>2358</v>
      </c>
      <c r="E122" s="33" t="s">
        <v>788</v>
      </c>
      <c r="F122" s="34"/>
      <c r="G122" s="35">
        <v>1</v>
      </c>
      <c r="H122" s="35">
        <v>0.5</v>
      </c>
      <c r="I122" s="35" t="s">
        <v>1244</v>
      </c>
      <c r="J122" s="36">
        <v>60</v>
      </c>
      <c r="K122" s="36">
        <v>305</v>
      </c>
    </row>
    <row r="123" spans="1:11" x14ac:dyDescent="0.2">
      <c r="A123" s="33" t="s">
        <v>2006</v>
      </c>
      <c r="B123" s="33" t="s">
        <v>1232</v>
      </c>
      <c r="C123" s="33" t="str">
        <f t="shared" si="1"/>
        <v xml:space="preserve">  Dimethachlor</v>
      </c>
      <c r="D123" s="33" t="s">
        <v>2006</v>
      </c>
      <c r="E123" s="33" t="s">
        <v>895</v>
      </c>
      <c r="F123" s="34"/>
      <c r="G123" s="35">
        <v>1</v>
      </c>
      <c r="H123" s="35">
        <v>0.93333333333333335</v>
      </c>
      <c r="I123" s="35" t="s">
        <v>1245</v>
      </c>
      <c r="J123" s="36">
        <v>7</v>
      </c>
      <c r="K123" s="36">
        <v>501</v>
      </c>
    </row>
    <row r="124" spans="1:11" x14ac:dyDescent="0.2">
      <c r="A124" s="33" t="s">
        <v>2378</v>
      </c>
      <c r="B124" s="33" t="s">
        <v>1232</v>
      </c>
      <c r="C124" s="33" t="str">
        <f t="shared" si="1"/>
        <v xml:space="preserve">  Dinoseb</v>
      </c>
      <c r="D124" s="33" t="s">
        <v>2378</v>
      </c>
      <c r="E124" s="33" t="s">
        <v>879</v>
      </c>
      <c r="F124" s="34"/>
      <c r="G124" s="35">
        <v>0.125</v>
      </c>
      <c r="H124" s="35">
        <v>0.16666666666666671</v>
      </c>
      <c r="I124" s="35" t="s">
        <v>1246</v>
      </c>
      <c r="J124" s="36">
        <v>283</v>
      </c>
      <c r="K124" s="36">
        <v>110</v>
      </c>
    </row>
    <row r="125" spans="1:11" x14ac:dyDescent="0.2">
      <c r="A125" s="33" t="s">
        <v>1247</v>
      </c>
      <c r="B125" s="33" t="s">
        <v>1232</v>
      </c>
      <c r="C125" s="33" t="str">
        <f t="shared" si="1"/>
        <v xml:space="preserve">  Diphenamid</v>
      </c>
      <c r="D125" s="33" t="s">
        <v>1247</v>
      </c>
      <c r="E125" s="33" t="s">
        <v>902</v>
      </c>
      <c r="F125" s="34"/>
      <c r="G125" s="35">
        <v>1</v>
      </c>
      <c r="H125" s="35">
        <v>0.8666666666666667</v>
      </c>
      <c r="I125" s="35" t="s">
        <v>1248</v>
      </c>
      <c r="J125" s="36">
        <v>445</v>
      </c>
      <c r="K125" s="36">
        <v>4900</v>
      </c>
    </row>
    <row r="126" spans="1:11" x14ac:dyDescent="0.2">
      <c r="A126" s="33" t="s">
        <v>2766</v>
      </c>
      <c r="B126" s="33" t="s">
        <v>1232</v>
      </c>
      <c r="C126" s="33" t="str">
        <f t="shared" si="1"/>
        <v xml:space="preserve">  S-Ethyl dipropylthiocarbamate</v>
      </c>
      <c r="D126" s="33" t="s">
        <v>3171</v>
      </c>
      <c r="E126" s="33" t="s">
        <v>828</v>
      </c>
      <c r="F126" s="34"/>
      <c r="G126" s="35">
        <v>0.875</v>
      </c>
      <c r="H126" s="35">
        <v>0.81666666666666665</v>
      </c>
      <c r="I126" s="35" t="s">
        <v>1249</v>
      </c>
      <c r="J126" s="36">
        <v>170</v>
      </c>
      <c r="K126" s="36">
        <v>9500</v>
      </c>
    </row>
    <row r="127" spans="1:11" x14ac:dyDescent="0.2">
      <c r="A127" s="33" t="s">
        <v>1250</v>
      </c>
      <c r="B127" s="33" t="s">
        <v>1232</v>
      </c>
      <c r="C127" s="33" t="str">
        <f t="shared" si="1"/>
        <v xml:space="preserve">  Fenoprop</v>
      </c>
      <c r="D127" s="33" t="s">
        <v>1250</v>
      </c>
      <c r="E127" s="33" t="s">
        <v>874</v>
      </c>
      <c r="F127" s="34"/>
      <c r="G127" s="35">
        <v>1</v>
      </c>
      <c r="H127" s="35">
        <v>0.98333333333333328</v>
      </c>
      <c r="I127" s="35" t="s">
        <v>1077</v>
      </c>
      <c r="J127" s="36">
        <v>583</v>
      </c>
      <c r="K127" s="36">
        <v>206</v>
      </c>
    </row>
    <row r="128" spans="1:11" x14ac:dyDescent="0.2">
      <c r="A128" s="33" t="s">
        <v>2025</v>
      </c>
      <c r="B128" s="33" t="s">
        <v>1232</v>
      </c>
      <c r="C128" s="33" t="str">
        <f t="shared" si="1"/>
        <v xml:space="preserve">  Metolachlor</v>
      </c>
      <c r="D128" s="33" t="s">
        <v>2025</v>
      </c>
      <c r="E128" s="33" t="s">
        <v>893</v>
      </c>
      <c r="F128" s="34"/>
      <c r="G128" s="35">
        <v>1</v>
      </c>
      <c r="H128" s="35">
        <v>0.58333333333333337</v>
      </c>
      <c r="I128" s="35" t="s">
        <v>1251</v>
      </c>
      <c r="J128" s="36">
        <v>419</v>
      </c>
      <c r="K128" s="36">
        <v>7100</v>
      </c>
    </row>
    <row r="129" spans="1:11" x14ac:dyDescent="0.2">
      <c r="A129" s="33" t="s">
        <v>2762</v>
      </c>
      <c r="B129" s="33" t="s">
        <v>1232</v>
      </c>
      <c r="C129" s="33" t="str">
        <f t="shared" si="1"/>
        <v xml:space="preserve">  Metribuzin</v>
      </c>
      <c r="D129" s="33" t="s">
        <v>2762</v>
      </c>
      <c r="E129" s="33" t="s">
        <v>801</v>
      </c>
      <c r="F129" s="34"/>
      <c r="G129" s="35">
        <v>1</v>
      </c>
      <c r="H129" s="35">
        <v>0.5</v>
      </c>
      <c r="I129" s="35" t="s">
        <v>1252</v>
      </c>
      <c r="J129" s="36">
        <v>24</v>
      </c>
      <c r="K129" s="36">
        <v>305</v>
      </c>
    </row>
    <row r="130" spans="1:11" x14ac:dyDescent="0.2">
      <c r="A130" s="33" t="s">
        <v>1253</v>
      </c>
      <c r="B130" s="33" t="s">
        <v>1232</v>
      </c>
      <c r="C130" s="33" t="str">
        <f t="shared" si="1"/>
        <v xml:space="preserve">  Metsulfuron-methyl</v>
      </c>
      <c r="D130" s="33" t="s">
        <v>1254</v>
      </c>
      <c r="E130" s="33" t="s">
        <v>837</v>
      </c>
      <c r="F130" s="34"/>
      <c r="G130" s="35">
        <v>1</v>
      </c>
      <c r="H130" s="35">
        <v>0.91666666666666663</v>
      </c>
      <c r="I130" s="35" t="s">
        <v>1255</v>
      </c>
      <c r="J130" s="36">
        <v>573</v>
      </c>
      <c r="K130" s="36">
        <v>443</v>
      </c>
    </row>
    <row r="131" spans="1:11" x14ac:dyDescent="0.2">
      <c r="A131" s="33" t="s">
        <v>2768</v>
      </c>
      <c r="B131" s="33" t="s">
        <v>1232</v>
      </c>
      <c r="C131" s="33" t="str">
        <f t="shared" ref="C131:C194" si="2">_xlfn.CONCAT("  ",D131)</f>
        <v xml:space="preserve">  Molinate</v>
      </c>
      <c r="D131" s="33" t="s">
        <v>2768</v>
      </c>
      <c r="E131" s="33" t="s">
        <v>834</v>
      </c>
      <c r="F131" s="34"/>
      <c r="G131" s="35">
        <v>1</v>
      </c>
      <c r="H131" s="35">
        <v>0.5</v>
      </c>
      <c r="I131" s="35" t="s">
        <v>1256</v>
      </c>
      <c r="J131" s="36">
        <v>13</v>
      </c>
      <c r="K131" s="36">
        <v>53000</v>
      </c>
    </row>
    <row r="132" spans="1:11" x14ac:dyDescent="0.2">
      <c r="A132" s="33" t="s">
        <v>1257</v>
      </c>
      <c r="B132" s="33" t="s">
        <v>1232</v>
      </c>
      <c r="C132" s="33" t="str">
        <f t="shared" si="2"/>
        <v xml:space="preserve">  Pretilachlor</v>
      </c>
      <c r="D132" s="33" t="s">
        <v>1257</v>
      </c>
      <c r="E132" s="33" t="s">
        <v>889</v>
      </c>
      <c r="F132" s="34"/>
      <c r="G132" s="35">
        <v>1</v>
      </c>
      <c r="H132" s="35">
        <v>0.98333333333333328</v>
      </c>
      <c r="I132" s="35" t="s">
        <v>1258</v>
      </c>
      <c r="J132" s="36">
        <v>820</v>
      </c>
      <c r="K132" s="36">
        <v>5900</v>
      </c>
    </row>
    <row r="133" spans="1:11" x14ac:dyDescent="0.2">
      <c r="A133" s="33" t="s">
        <v>2512</v>
      </c>
      <c r="B133" s="33" t="s">
        <v>1232</v>
      </c>
      <c r="C133" s="33" t="str">
        <f t="shared" si="2"/>
        <v xml:space="preserve">  Primisulfuron-methyl</v>
      </c>
      <c r="D133" s="33" t="s">
        <v>3166</v>
      </c>
      <c r="E133" s="33" t="s">
        <v>847</v>
      </c>
      <c r="F133" s="34"/>
      <c r="G133" s="35">
        <v>0.75</v>
      </c>
      <c r="H133" s="35">
        <v>0.95</v>
      </c>
      <c r="I133" s="35" t="s">
        <v>1259</v>
      </c>
      <c r="J133" s="36">
        <v>60000</v>
      </c>
      <c r="K133" s="36">
        <v>1500</v>
      </c>
    </row>
    <row r="134" spans="1:11" x14ac:dyDescent="0.2">
      <c r="A134" s="33" t="s">
        <v>2038</v>
      </c>
      <c r="B134" s="33" t="s">
        <v>1232</v>
      </c>
      <c r="C134" s="33" t="str">
        <f t="shared" si="2"/>
        <v xml:space="preserve">  Propachlor</v>
      </c>
      <c r="D134" s="33" t="s">
        <v>2038</v>
      </c>
      <c r="E134" s="33" t="s">
        <v>891</v>
      </c>
      <c r="F134" s="34"/>
      <c r="G134" s="35">
        <v>1</v>
      </c>
      <c r="H134" s="35">
        <v>1</v>
      </c>
      <c r="I134" s="35" t="s">
        <v>1260</v>
      </c>
      <c r="J134" s="36">
        <v>3</v>
      </c>
      <c r="K134" s="36">
        <v>26000</v>
      </c>
    </row>
    <row r="135" spans="1:11" x14ac:dyDescent="0.2">
      <c r="A135" s="33" t="s">
        <v>1261</v>
      </c>
      <c r="B135" s="33" t="s">
        <v>1232</v>
      </c>
      <c r="C135" s="33" t="str">
        <f t="shared" si="2"/>
        <v xml:space="preserve">  Propisochlor</v>
      </c>
      <c r="D135" s="33" t="s">
        <v>1261</v>
      </c>
      <c r="E135" s="33" t="s">
        <v>899</v>
      </c>
      <c r="F135" s="34"/>
      <c r="G135" s="35">
        <v>1</v>
      </c>
      <c r="H135" s="35">
        <v>0.6166666666666667</v>
      </c>
      <c r="I135" s="35" t="s">
        <v>1238</v>
      </c>
      <c r="J135" s="36">
        <v>11</v>
      </c>
      <c r="K135" s="36">
        <v>1000</v>
      </c>
    </row>
    <row r="136" spans="1:11" x14ac:dyDescent="0.2">
      <c r="A136" s="33" t="s">
        <v>2514</v>
      </c>
      <c r="B136" s="33" t="s">
        <v>1232</v>
      </c>
      <c r="C136" s="33" t="str">
        <f t="shared" si="2"/>
        <v xml:space="preserve">  Prosulfuron</v>
      </c>
      <c r="D136" s="33" t="s">
        <v>3148</v>
      </c>
      <c r="E136" s="33" t="s">
        <v>856</v>
      </c>
      <c r="F136" s="34"/>
      <c r="G136" s="35">
        <v>1</v>
      </c>
      <c r="H136" s="35">
        <v>1</v>
      </c>
      <c r="I136" s="35" t="s">
        <v>1262</v>
      </c>
      <c r="J136" s="36">
        <v>523</v>
      </c>
      <c r="K136" s="36">
        <v>530</v>
      </c>
    </row>
    <row r="137" spans="1:11" x14ac:dyDescent="0.2">
      <c r="A137" s="33" t="s">
        <v>1263</v>
      </c>
      <c r="B137" s="33" t="s">
        <v>1232</v>
      </c>
      <c r="C137" s="33" t="str">
        <f t="shared" si="2"/>
        <v xml:space="preserve">  Terbacil</v>
      </c>
      <c r="D137" s="33" t="s">
        <v>1263</v>
      </c>
      <c r="E137" s="33" t="s">
        <v>794</v>
      </c>
      <c r="F137" s="34"/>
      <c r="G137" s="35">
        <v>0.75</v>
      </c>
      <c r="H137" s="35">
        <v>0.8</v>
      </c>
      <c r="I137" s="35" t="s">
        <v>1264</v>
      </c>
      <c r="J137" s="36">
        <v>937</v>
      </c>
      <c r="K137" s="36">
        <v>301</v>
      </c>
    </row>
    <row r="138" spans="1:11" x14ac:dyDescent="0.2">
      <c r="A138" s="33" t="s">
        <v>2109</v>
      </c>
      <c r="B138" s="33" t="s">
        <v>1232</v>
      </c>
      <c r="C138" s="33" t="str">
        <f t="shared" si="2"/>
        <v xml:space="preserve">  Terbuthylazine</v>
      </c>
      <c r="D138" s="33" t="s">
        <v>2109</v>
      </c>
      <c r="E138" s="33" t="s">
        <v>816</v>
      </c>
      <c r="F138" s="34"/>
      <c r="G138" s="35">
        <v>0.125</v>
      </c>
      <c r="H138" s="35">
        <v>0.7</v>
      </c>
      <c r="I138" s="35" t="s">
        <v>1265</v>
      </c>
      <c r="J138" s="36">
        <v>10</v>
      </c>
      <c r="K138" s="36">
        <v>744</v>
      </c>
    </row>
    <row r="139" spans="1:11" x14ac:dyDescent="0.2">
      <c r="A139" s="33" t="s">
        <v>1266</v>
      </c>
      <c r="B139" s="33" t="s">
        <v>1232</v>
      </c>
      <c r="C139" s="33" t="str">
        <f t="shared" si="2"/>
        <v xml:space="preserve">  Thifensulfuron-methyl </v>
      </c>
      <c r="D139" s="33" t="s">
        <v>1267</v>
      </c>
      <c r="E139" s="33" t="s">
        <v>852</v>
      </c>
      <c r="F139" s="34"/>
      <c r="G139" s="35">
        <v>1</v>
      </c>
      <c r="H139" s="35">
        <v>0.95</v>
      </c>
      <c r="I139" s="35" t="s">
        <v>1268</v>
      </c>
      <c r="J139" s="36">
        <v>1300</v>
      </c>
      <c r="K139" s="36">
        <v>404</v>
      </c>
    </row>
    <row r="140" spans="1:11" x14ac:dyDescent="0.2">
      <c r="A140" s="33" t="s">
        <v>2519</v>
      </c>
      <c r="B140" s="33" t="s">
        <v>1232</v>
      </c>
      <c r="C140" s="33" t="str">
        <f t="shared" si="2"/>
        <v xml:space="preserve">  Triasulfuron</v>
      </c>
      <c r="D140" s="33" t="s">
        <v>3153</v>
      </c>
      <c r="E140" s="33" t="s">
        <v>841</v>
      </c>
      <c r="F140" s="34"/>
      <c r="G140" s="35">
        <v>1</v>
      </c>
      <c r="H140" s="35">
        <v>0.96666666666666667</v>
      </c>
      <c r="I140" s="35" t="s">
        <v>1269</v>
      </c>
      <c r="J140" s="36">
        <v>2500</v>
      </c>
      <c r="K140" s="36">
        <v>136</v>
      </c>
    </row>
    <row r="141" spans="1:11" x14ac:dyDescent="0.2">
      <c r="A141" s="33" t="s">
        <v>1270</v>
      </c>
      <c r="B141" s="33" t="s">
        <v>1232</v>
      </c>
      <c r="C141" s="33" t="str">
        <f t="shared" si="2"/>
        <v xml:space="preserve">  Vernolate</v>
      </c>
      <c r="D141" s="33" t="s">
        <v>1270</v>
      </c>
      <c r="E141" s="33" t="s">
        <v>831</v>
      </c>
      <c r="F141" s="34"/>
      <c r="G141" s="35">
        <v>0.875</v>
      </c>
      <c r="H141" s="35">
        <v>0.6333333333333333</v>
      </c>
      <c r="I141" s="35" t="s">
        <v>1271</v>
      </c>
      <c r="J141" s="36">
        <v>8</v>
      </c>
      <c r="K141" s="36">
        <v>11000</v>
      </c>
    </row>
    <row r="142" spans="1:11" x14ac:dyDescent="0.2">
      <c r="A142" s="33" t="s">
        <v>3070</v>
      </c>
      <c r="B142" s="33" t="s">
        <v>1273</v>
      </c>
      <c r="C142" s="33" t="str">
        <f t="shared" si="2"/>
        <v xml:space="preserve">  Glycerin</v>
      </c>
      <c r="D142" s="33" t="s">
        <v>3070</v>
      </c>
      <c r="E142" s="33" t="s">
        <v>61</v>
      </c>
      <c r="F142" s="34"/>
      <c r="G142" s="35">
        <v>0.75</v>
      </c>
      <c r="H142" s="35">
        <v>0.95</v>
      </c>
      <c r="I142" s="35" t="s">
        <v>1274</v>
      </c>
      <c r="J142" s="36">
        <v>827</v>
      </c>
      <c r="K142" s="36">
        <v>1500</v>
      </c>
    </row>
    <row r="143" spans="1:11" x14ac:dyDescent="0.2">
      <c r="A143" s="33" t="s">
        <v>1275</v>
      </c>
      <c r="B143" s="33" t="s">
        <v>1276</v>
      </c>
      <c r="C143" s="33" t="str">
        <f t="shared" si="2"/>
        <v xml:space="preserve">  2,4'-Methoxychlor</v>
      </c>
      <c r="D143" s="33" t="s">
        <v>1275</v>
      </c>
      <c r="E143" s="33" t="s">
        <v>742</v>
      </c>
      <c r="F143" s="34"/>
      <c r="G143" s="35">
        <v>1</v>
      </c>
      <c r="H143" s="35">
        <v>0.98333333333333328</v>
      </c>
      <c r="I143" s="35" t="s">
        <v>1277</v>
      </c>
      <c r="J143" s="36">
        <v>15000</v>
      </c>
      <c r="K143" s="36">
        <v>9800</v>
      </c>
    </row>
    <row r="144" spans="1:11" x14ac:dyDescent="0.2">
      <c r="A144" s="33" t="s">
        <v>1733</v>
      </c>
      <c r="B144" s="33" t="s">
        <v>1276</v>
      </c>
      <c r="C144" s="33" t="str">
        <f t="shared" si="2"/>
        <v xml:space="preserve">  alpha-Benzene hexachloride</v>
      </c>
      <c r="D144" s="33" t="s">
        <v>3141</v>
      </c>
      <c r="E144" s="33" t="s">
        <v>725</v>
      </c>
      <c r="F144" s="34" t="s">
        <v>69</v>
      </c>
      <c r="G144" s="35">
        <v>0.125</v>
      </c>
      <c r="H144" s="35">
        <v>3.3333333333333333E-2</v>
      </c>
      <c r="I144" s="35" t="s">
        <v>1278</v>
      </c>
      <c r="J144" s="36">
        <v>127</v>
      </c>
      <c r="K144" s="36">
        <v>141</v>
      </c>
    </row>
    <row r="145" spans="1:11" x14ac:dyDescent="0.2">
      <c r="A145" s="33" t="s">
        <v>1279</v>
      </c>
      <c r="B145" s="33" t="s">
        <v>1276</v>
      </c>
      <c r="C145" s="33" t="str">
        <f t="shared" si="2"/>
        <v xml:space="preserve">  Acrinathrin</v>
      </c>
      <c r="D145" s="33" t="s">
        <v>1279</v>
      </c>
      <c r="E145" s="33" t="s">
        <v>642</v>
      </c>
      <c r="F145" s="34"/>
      <c r="G145" s="35">
        <v>0.75</v>
      </c>
      <c r="H145" s="35">
        <v>0.78333333333333333</v>
      </c>
      <c r="I145" s="35" t="s">
        <v>1280</v>
      </c>
      <c r="J145" s="36">
        <v>1700</v>
      </c>
      <c r="K145" s="36">
        <v>2</v>
      </c>
    </row>
    <row r="146" spans="1:11" x14ac:dyDescent="0.2">
      <c r="A146" s="33" t="s">
        <v>1281</v>
      </c>
      <c r="B146" s="33" t="s">
        <v>1276</v>
      </c>
      <c r="C146" s="33" t="str">
        <f t="shared" si="2"/>
        <v xml:space="preserve">  Aldicarb</v>
      </c>
      <c r="D146" s="33" t="s">
        <v>1281</v>
      </c>
      <c r="E146" s="33" t="s">
        <v>762</v>
      </c>
      <c r="F146" s="33" t="s">
        <v>1044</v>
      </c>
      <c r="G146" s="35">
        <v>1</v>
      </c>
      <c r="H146" s="35">
        <v>1</v>
      </c>
      <c r="I146" s="35" t="s">
        <v>1282</v>
      </c>
      <c r="J146" s="36">
        <v>19000</v>
      </c>
      <c r="K146" s="36">
        <v>834</v>
      </c>
    </row>
    <row r="147" spans="1:11" x14ac:dyDescent="0.2">
      <c r="A147" s="33" t="s">
        <v>2805</v>
      </c>
      <c r="B147" s="33" t="s">
        <v>1276</v>
      </c>
      <c r="C147" s="33" t="str">
        <f t="shared" si="2"/>
        <v xml:space="preserve">  Baygon</v>
      </c>
      <c r="D147" s="33" t="s">
        <v>3142</v>
      </c>
      <c r="E147" s="33" t="s">
        <v>769</v>
      </c>
      <c r="F147" s="34"/>
      <c r="G147" s="35">
        <v>0.875</v>
      </c>
      <c r="H147" s="35">
        <v>1</v>
      </c>
      <c r="I147" s="35" t="s">
        <v>1283</v>
      </c>
      <c r="J147" s="36">
        <v>313</v>
      </c>
      <c r="K147" s="36">
        <v>1000</v>
      </c>
    </row>
    <row r="148" spans="1:11" x14ac:dyDescent="0.2">
      <c r="A148" s="33" t="s">
        <v>1284</v>
      </c>
      <c r="B148" s="33" t="s">
        <v>1276</v>
      </c>
      <c r="C148" s="33" t="str">
        <f t="shared" si="2"/>
        <v xml:space="preserve">  Bifenthrin</v>
      </c>
      <c r="D148" s="33" t="s">
        <v>1284</v>
      </c>
      <c r="E148" s="33" t="s">
        <v>640</v>
      </c>
      <c r="F148" s="34"/>
      <c r="G148" s="35">
        <v>0.75</v>
      </c>
      <c r="H148" s="35">
        <v>0.93333333333333335</v>
      </c>
      <c r="I148" s="35" t="s">
        <v>1285</v>
      </c>
      <c r="J148" s="36">
        <v>2500</v>
      </c>
      <c r="K148" s="36">
        <v>418</v>
      </c>
    </row>
    <row r="149" spans="1:11" x14ac:dyDescent="0.2">
      <c r="A149" s="33" t="s">
        <v>3076</v>
      </c>
      <c r="B149" s="33" t="s">
        <v>1276</v>
      </c>
      <c r="C149" s="33" t="str">
        <f t="shared" si="2"/>
        <v xml:space="preserve">  Bioallethrin</v>
      </c>
      <c r="D149" s="33" t="s">
        <v>3076</v>
      </c>
      <c r="E149" s="33" t="s">
        <v>625</v>
      </c>
      <c r="F149" s="34"/>
      <c r="G149" s="35">
        <v>1</v>
      </c>
      <c r="H149" s="35">
        <v>1</v>
      </c>
      <c r="I149" s="35" t="s">
        <v>1286</v>
      </c>
      <c r="J149" s="36">
        <v>70000</v>
      </c>
      <c r="K149" s="36">
        <v>13000</v>
      </c>
    </row>
    <row r="150" spans="1:11" x14ac:dyDescent="0.2">
      <c r="A150" s="33" t="s">
        <v>1287</v>
      </c>
      <c r="B150" s="33" t="s">
        <v>1276</v>
      </c>
      <c r="C150" s="33" t="str">
        <f t="shared" si="2"/>
        <v xml:space="preserve">  Carbofuran</v>
      </c>
      <c r="D150" s="33" t="s">
        <v>1288</v>
      </c>
      <c r="E150" s="33" t="s">
        <v>775</v>
      </c>
      <c r="F150" s="34"/>
      <c r="G150" s="35">
        <v>0.5</v>
      </c>
      <c r="H150" s="35">
        <v>0.8833333333333333</v>
      </c>
      <c r="I150" s="35" t="s">
        <v>1289</v>
      </c>
      <c r="J150" s="36">
        <v>66</v>
      </c>
      <c r="K150" s="36">
        <v>1700</v>
      </c>
    </row>
    <row r="151" spans="1:11" x14ac:dyDescent="0.2">
      <c r="A151" s="33" t="s">
        <v>1771</v>
      </c>
      <c r="B151" s="33" t="s">
        <v>1276</v>
      </c>
      <c r="C151" s="33" t="str">
        <f t="shared" si="2"/>
        <v xml:space="preserve">  Cis-nonachlor</v>
      </c>
      <c r="D151" s="33" t="s">
        <v>3155</v>
      </c>
      <c r="E151" s="33" t="s">
        <v>735</v>
      </c>
      <c r="F151" s="34"/>
      <c r="G151" s="35">
        <v>0.75</v>
      </c>
      <c r="H151" s="35">
        <v>0.05</v>
      </c>
      <c r="I151" s="35" t="s">
        <v>1290</v>
      </c>
      <c r="J151" s="36">
        <v>262</v>
      </c>
      <c r="K151" s="36">
        <v>19</v>
      </c>
    </row>
    <row r="152" spans="1:11" x14ac:dyDescent="0.2">
      <c r="A152" s="33" t="s">
        <v>3078</v>
      </c>
      <c r="B152" s="33" t="s">
        <v>1276</v>
      </c>
      <c r="C152" s="33" t="str">
        <f t="shared" si="2"/>
        <v xml:space="preserve">  Cyfluthrin</v>
      </c>
      <c r="D152" s="33" t="s">
        <v>3078</v>
      </c>
      <c r="E152" s="33" t="s">
        <v>652</v>
      </c>
      <c r="F152" s="34"/>
      <c r="G152" s="35">
        <v>0.125</v>
      </c>
      <c r="H152" s="35">
        <v>0.2166666666666667</v>
      </c>
      <c r="I152" s="35" t="s">
        <v>1291</v>
      </c>
      <c r="J152" s="36">
        <v>493</v>
      </c>
      <c r="K152" s="36">
        <v>1300</v>
      </c>
    </row>
    <row r="153" spans="1:11" x14ac:dyDescent="0.2">
      <c r="A153" s="33" t="s">
        <v>3184</v>
      </c>
      <c r="B153" s="33" t="s">
        <v>1276</v>
      </c>
      <c r="C153" s="33" t="str">
        <f t="shared" si="2"/>
        <v xml:space="preserve">  Cypermethrin_1</v>
      </c>
      <c r="D153" s="33" t="s">
        <v>3082</v>
      </c>
      <c r="E153" s="33" t="s">
        <v>654</v>
      </c>
      <c r="F153" s="34"/>
      <c r="G153" s="35">
        <v>0.625</v>
      </c>
      <c r="H153" s="35">
        <v>0.8833333333333333</v>
      </c>
      <c r="I153" s="35" t="s">
        <v>1292</v>
      </c>
      <c r="J153" s="36">
        <v>201</v>
      </c>
      <c r="K153" s="36">
        <v>187</v>
      </c>
    </row>
    <row r="154" spans="1:11" x14ac:dyDescent="0.2">
      <c r="A154" s="33" t="s">
        <v>1293</v>
      </c>
      <c r="B154" s="33" t="s">
        <v>1276</v>
      </c>
      <c r="C154" s="33" t="str">
        <f t="shared" si="2"/>
        <v xml:space="preserve">  N,N-Diethyl-meta-toluamide </v>
      </c>
      <c r="D154" s="33" t="s">
        <v>1294</v>
      </c>
      <c r="E154" s="33" t="s">
        <v>754</v>
      </c>
      <c r="F154" s="34"/>
      <c r="G154" s="35">
        <v>1</v>
      </c>
      <c r="H154" s="35">
        <v>0.91666666666666663</v>
      </c>
      <c r="I154" s="35" t="s">
        <v>1295</v>
      </c>
      <c r="J154" s="36">
        <v>497</v>
      </c>
      <c r="K154" s="36">
        <v>949</v>
      </c>
    </row>
    <row r="155" spans="1:11" x14ac:dyDescent="0.2">
      <c r="A155" s="33" t="s">
        <v>3185</v>
      </c>
      <c r="B155" s="33" t="s">
        <v>1276</v>
      </c>
      <c r="C155" s="33" t="str">
        <f t="shared" si="2"/>
        <v xml:space="preserve">  Deltamethrin 1</v>
      </c>
      <c r="D155" s="33" t="s">
        <v>3239</v>
      </c>
      <c r="E155" s="33" t="s">
        <v>621</v>
      </c>
      <c r="F155" s="33" t="s">
        <v>1044</v>
      </c>
      <c r="G155" s="35">
        <v>1</v>
      </c>
      <c r="H155" s="35">
        <v>0.8833333333333333</v>
      </c>
      <c r="I155" s="35" t="s">
        <v>1296</v>
      </c>
      <c r="J155" s="36">
        <v>22</v>
      </c>
      <c r="K155" s="36">
        <v>211</v>
      </c>
    </row>
    <row r="156" spans="1:11" x14ac:dyDescent="0.2">
      <c r="A156" s="33" t="s">
        <v>1856</v>
      </c>
      <c r="B156" s="33" t="s">
        <v>1276</v>
      </c>
      <c r="C156" s="33" t="str">
        <f t="shared" si="2"/>
        <v xml:space="preserve">  Diazinon</v>
      </c>
      <c r="D156" s="33" t="s">
        <v>1856</v>
      </c>
      <c r="E156" s="33" t="s">
        <v>667</v>
      </c>
      <c r="F156" s="34" t="s">
        <v>332</v>
      </c>
      <c r="G156" s="35">
        <v>0.875</v>
      </c>
      <c r="H156" s="35">
        <v>3.3333333333333333E-2</v>
      </c>
      <c r="I156" s="35" t="s">
        <v>1297</v>
      </c>
      <c r="J156" s="36">
        <v>85</v>
      </c>
      <c r="K156" s="36">
        <v>4100</v>
      </c>
    </row>
    <row r="157" spans="1:11" x14ac:dyDescent="0.2">
      <c r="A157" s="33" t="s">
        <v>3203</v>
      </c>
      <c r="B157" s="33" t="s">
        <v>1276</v>
      </c>
      <c r="C157" s="33" t="str">
        <f t="shared" si="2"/>
        <v xml:space="preserve">  4,4'-Methoxychlor olefin</v>
      </c>
      <c r="D157" s="33" t="s">
        <v>1931</v>
      </c>
      <c r="E157" s="33" t="s">
        <v>739</v>
      </c>
      <c r="F157" s="34"/>
      <c r="G157" s="35">
        <v>0.75</v>
      </c>
      <c r="H157" s="35">
        <v>0.38333333333333341</v>
      </c>
      <c r="I157" s="35" t="s">
        <v>1298</v>
      </c>
      <c r="J157" s="36">
        <v>8</v>
      </c>
      <c r="K157" s="36">
        <v>397</v>
      </c>
    </row>
    <row r="158" spans="1:11" x14ac:dyDescent="0.2">
      <c r="A158" s="33" t="s">
        <v>1299</v>
      </c>
      <c r="B158" s="33" t="s">
        <v>1276</v>
      </c>
      <c r="C158" s="33" t="str">
        <f t="shared" si="2"/>
        <v xml:space="preserve">  Endosulfan I </v>
      </c>
      <c r="D158" s="33" t="s">
        <v>1300</v>
      </c>
      <c r="E158" s="33" t="s">
        <v>745</v>
      </c>
      <c r="F158" s="34"/>
      <c r="G158" s="35">
        <v>1</v>
      </c>
      <c r="H158" s="35">
        <v>0.95</v>
      </c>
      <c r="I158" s="35" t="s">
        <v>1301</v>
      </c>
      <c r="J158" s="36">
        <v>3300</v>
      </c>
      <c r="K158" s="36">
        <v>391</v>
      </c>
    </row>
    <row r="159" spans="1:11" x14ac:dyDescent="0.2">
      <c r="A159" s="33" t="s">
        <v>1302</v>
      </c>
      <c r="B159" s="33" t="s">
        <v>1276</v>
      </c>
      <c r="C159" s="33" t="str">
        <f t="shared" si="2"/>
        <v xml:space="preserve">  Ethylan</v>
      </c>
      <c r="D159" s="33" t="s">
        <v>1302</v>
      </c>
      <c r="E159" s="33" t="s">
        <v>741</v>
      </c>
      <c r="F159" s="34"/>
      <c r="G159" s="35">
        <v>1</v>
      </c>
      <c r="H159" s="35">
        <v>0.16666666666666671</v>
      </c>
      <c r="I159" s="35" t="s">
        <v>1303</v>
      </c>
      <c r="J159" s="36">
        <v>613</v>
      </c>
      <c r="K159" s="36">
        <v>29</v>
      </c>
    </row>
    <row r="160" spans="1:11" x14ac:dyDescent="0.2">
      <c r="A160" s="33" t="s">
        <v>2009</v>
      </c>
      <c r="B160" s="33" t="s">
        <v>1276</v>
      </c>
      <c r="C160" s="33" t="str">
        <f t="shared" si="2"/>
        <v xml:space="preserve">  Fenpropathrin</v>
      </c>
      <c r="D160" s="33" t="s">
        <v>2009</v>
      </c>
      <c r="E160" s="33" t="s">
        <v>629</v>
      </c>
      <c r="F160" s="34"/>
      <c r="G160" s="35">
        <v>1</v>
      </c>
      <c r="H160" s="35">
        <v>0.73333333333333328</v>
      </c>
      <c r="I160" s="35" t="s">
        <v>1304</v>
      </c>
      <c r="J160" s="36">
        <v>22</v>
      </c>
      <c r="K160" s="36">
        <v>290</v>
      </c>
    </row>
    <row r="161" spans="1:11" x14ac:dyDescent="0.2">
      <c r="A161" s="33" t="s">
        <v>3182</v>
      </c>
      <c r="B161" s="33" t="s">
        <v>1276</v>
      </c>
      <c r="C161" s="33" t="str">
        <f t="shared" si="2"/>
        <v xml:space="preserve">  Fenvalerate_1</v>
      </c>
      <c r="D161" s="33" t="s">
        <v>3089</v>
      </c>
      <c r="E161" s="33" t="s">
        <v>623</v>
      </c>
      <c r="F161" s="33" t="s">
        <v>1044</v>
      </c>
      <c r="G161" s="35">
        <v>0.125</v>
      </c>
      <c r="H161" s="35">
        <v>0.58333333333333337</v>
      </c>
      <c r="I161" s="35" t="s">
        <v>1305</v>
      </c>
      <c r="J161" s="36">
        <v>42</v>
      </c>
      <c r="K161" s="36">
        <v>4</v>
      </c>
    </row>
    <row r="162" spans="1:11" x14ac:dyDescent="0.2">
      <c r="A162" s="33" t="s">
        <v>3186</v>
      </c>
      <c r="B162" s="33" t="s">
        <v>1276</v>
      </c>
      <c r="C162" s="33" t="str">
        <f t="shared" si="2"/>
        <v xml:space="preserve">  Flucythrinate_1</v>
      </c>
      <c r="D162" s="33" t="s">
        <v>3092</v>
      </c>
      <c r="E162" s="33" t="s">
        <v>635</v>
      </c>
      <c r="F162" s="34"/>
      <c r="G162" s="35">
        <v>0.875</v>
      </c>
      <c r="H162" s="35">
        <v>0.8833333333333333</v>
      </c>
      <c r="I162" s="35" t="s">
        <v>1306</v>
      </c>
      <c r="J162" s="36">
        <v>1500</v>
      </c>
      <c r="K162" s="36">
        <v>1000</v>
      </c>
    </row>
    <row r="163" spans="1:11" x14ac:dyDescent="0.2">
      <c r="A163" s="33" t="s">
        <v>3559</v>
      </c>
      <c r="B163" s="33" t="s">
        <v>1276</v>
      </c>
      <c r="C163" s="33" t="str">
        <f t="shared" si="2"/>
        <v xml:space="preserve">  gamma-Benzene hexachloride</v>
      </c>
      <c r="D163" s="33" t="s">
        <v>1307</v>
      </c>
      <c r="E163" s="33" t="s">
        <v>751</v>
      </c>
      <c r="F163" s="33">
        <v>1</v>
      </c>
      <c r="G163" s="35">
        <v>0.125</v>
      </c>
      <c r="H163" s="35">
        <v>1.666666666666667E-2</v>
      </c>
      <c r="I163" s="35" t="s">
        <v>1308</v>
      </c>
      <c r="J163" s="36">
        <v>135</v>
      </c>
      <c r="K163" s="36">
        <v>379</v>
      </c>
    </row>
    <row r="164" spans="1:11" x14ac:dyDescent="0.2">
      <c r="A164" s="33" t="s">
        <v>3181</v>
      </c>
      <c r="B164" s="33" t="s">
        <v>1276</v>
      </c>
      <c r="C164" s="33" t="str">
        <f t="shared" si="2"/>
        <v xml:space="preserve">  Azinphos ethyl</v>
      </c>
      <c r="D164" s="33" t="s">
        <v>1847</v>
      </c>
      <c r="E164" s="33" t="s">
        <v>707</v>
      </c>
      <c r="F164" s="34"/>
      <c r="G164" s="35">
        <v>0.5</v>
      </c>
      <c r="H164" s="35">
        <v>0.75</v>
      </c>
      <c r="I164" s="35" t="s">
        <v>1309</v>
      </c>
      <c r="J164" s="36">
        <v>55</v>
      </c>
      <c r="K164" s="36">
        <v>6200</v>
      </c>
    </row>
    <row r="165" spans="1:11" x14ac:dyDescent="0.2">
      <c r="A165" s="33" t="s">
        <v>3080</v>
      </c>
      <c r="B165" s="33" t="s">
        <v>1276</v>
      </c>
      <c r="C165" s="33" t="str">
        <f t="shared" si="2"/>
        <v xml:space="preserve">  lambda-Cyhalothrin</v>
      </c>
      <c r="D165" s="33" t="s">
        <v>3080</v>
      </c>
      <c r="E165" s="33" t="s">
        <v>656</v>
      </c>
      <c r="F165" s="34"/>
      <c r="G165" s="35">
        <v>1</v>
      </c>
      <c r="H165" s="35">
        <v>0.91666666666666663</v>
      </c>
      <c r="I165" s="35" t="s">
        <v>1310</v>
      </c>
      <c r="J165" s="36">
        <v>348</v>
      </c>
      <c r="K165" s="36">
        <v>78</v>
      </c>
    </row>
    <row r="166" spans="1:11" x14ac:dyDescent="0.2">
      <c r="A166" s="33" t="s">
        <v>2185</v>
      </c>
      <c r="B166" s="33" t="s">
        <v>1276</v>
      </c>
      <c r="C166" s="33" t="str">
        <f t="shared" si="2"/>
        <v xml:space="preserve">  Malathion</v>
      </c>
      <c r="D166" s="33" t="s">
        <v>2185</v>
      </c>
      <c r="E166" s="33" t="s">
        <v>669</v>
      </c>
      <c r="F166" s="34" t="s">
        <v>332</v>
      </c>
      <c r="G166" s="35">
        <v>0.25</v>
      </c>
      <c r="H166" s="35">
        <v>1</v>
      </c>
      <c r="I166" s="35" t="s">
        <v>1311</v>
      </c>
      <c r="J166" s="36">
        <v>12</v>
      </c>
      <c r="K166" s="36">
        <v>23000</v>
      </c>
    </row>
    <row r="167" spans="1:11" x14ac:dyDescent="0.2">
      <c r="A167" s="33" t="s">
        <v>1312</v>
      </c>
      <c r="B167" s="33" t="s">
        <v>1276</v>
      </c>
      <c r="C167" s="33" t="str">
        <f t="shared" si="2"/>
        <v xml:space="preserve">  Methomyl</v>
      </c>
      <c r="D167" s="33" t="s">
        <v>1313</v>
      </c>
      <c r="E167" s="33" t="s">
        <v>767</v>
      </c>
      <c r="F167" s="34"/>
      <c r="G167" s="35">
        <v>0.5</v>
      </c>
      <c r="H167" s="35">
        <v>0.83333333333333337</v>
      </c>
      <c r="I167" s="35" t="s">
        <v>1314</v>
      </c>
      <c r="J167" s="36">
        <v>441</v>
      </c>
      <c r="K167" s="36">
        <v>2000</v>
      </c>
    </row>
    <row r="168" spans="1:11" x14ac:dyDescent="0.2">
      <c r="A168" s="33" t="s">
        <v>1785</v>
      </c>
      <c r="B168" s="33" t="s">
        <v>1276</v>
      </c>
      <c r="C168" s="33" t="str">
        <f t="shared" si="2"/>
        <v xml:space="preserve">  o,p'-DDD</v>
      </c>
      <c r="D168" s="33" t="s">
        <v>1785</v>
      </c>
      <c r="E168" s="33" t="s">
        <v>746</v>
      </c>
      <c r="F168" s="34"/>
      <c r="G168" s="35">
        <v>0.125</v>
      </c>
      <c r="H168" s="35">
        <v>0.26666666666666672</v>
      </c>
      <c r="I168" s="35" t="s">
        <v>1315</v>
      </c>
      <c r="J168" s="36">
        <v>29</v>
      </c>
      <c r="K168" s="36">
        <v>60</v>
      </c>
    </row>
    <row r="169" spans="1:11" x14ac:dyDescent="0.2">
      <c r="A169" s="33" t="s">
        <v>2800</v>
      </c>
      <c r="B169" s="33" t="s">
        <v>1276</v>
      </c>
      <c r="C169" s="33" t="str">
        <f t="shared" si="2"/>
        <v xml:space="preserve">  Oxamyl</v>
      </c>
      <c r="D169" s="33" t="s">
        <v>2800</v>
      </c>
      <c r="E169" s="33" t="s">
        <v>777</v>
      </c>
      <c r="F169" s="34"/>
      <c r="G169" s="35">
        <v>1</v>
      </c>
      <c r="H169" s="35">
        <v>0.93333333333333335</v>
      </c>
      <c r="I169" s="35" t="s">
        <v>1316</v>
      </c>
      <c r="J169" s="36">
        <v>381</v>
      </c>
      <c r="K169" s="36">
        <v>325</v>
      </c>
    </row>
    <row r="170" spans="1:11" x14ac:dyDescent="0.2">
      <c r="A170" s="33" t="s">
        <v>3176</v>
      </c>
      <c r="B170" s="33" t="s">
        <v>1276</v>
      </c>
      <c r="C170" s="33" t="str">
        <f t="shared" si="2"/>
        <v xml:space="preserve">  4,4'-DDD</v>
      </c>
      <c r="D170" s="33" t="s">
        <v>1743</v>
      </c>
      <c r="E170" s="33" t="s">
        <v>750</v>
      </c>
      <c r="F170" s="34"/>
      <c r="G170" s="35">
        <v>0.625</v>
      </c>
      <c r="H170" s="35">
        <v>0.6166666666666667</v>
      </c>
      <c r="I170" s="35" t="s">
        <v>1317</v>
      </c>
      <c r="J170" s="36">
        <v>215</v>
      </c>
      <c r="K170" s="36">
        <v>187</v>
      </c>
    </row>
    <row r="171" spans="1:11" x14ac:dyDescent="0.2">
      <c r="A171" s="33" t="s">
        <v>1318</v>
      </c>
      <c r="B171" s="33" t="s">
        <v>1276</v>
      </c>
      <c r="C171" s="33" t="str">
        <f t="shared" si="2"/>
        <v xml:space="preserve">  4,4'-DDE </v>
      </c>
      <c r="D171" s="33" t="s">
        <v>1319</v>
      </c>
      <c r="E171" s="33" t="s">
        <v>727</v>
      </c>
      <c r="F171" s="34" t="s">
        <v>69</v>
      </c>
      <c r="G171" s="35">
        <v>0.625</v>
      </c>
      <c r="H171" s="35">
        <v>0.43333333333333329</v>
      </c>
      <c r="I171" s="35" t="s">
        <v>1320</v>
      </c>
      <c r="J171" s="36">
        <v>511</v>
      </c>
      <c r="K171" s="36">
        <v>212</v>
      </c>
    </row>
    <row r="172" spans="1:11" x14ac:dyDescent="0.2">
      <c r="A172" s="33" t="s">
        <v>1321</v>
      </c>
      <c r="B172" s="33" t="s">
        <v>1276</v>
      </c>
      <c r="C172" s="33" t="str">
        <f t="shared" si="2"/>
        <v xml:space="preserve">  Quinalphos</v>
      </c>
      <c r="D172" s="33" t="s">
        <v>1321</v>
      </c>
      <c r="E172" s="33" t="s">
        <v>710</v>
      </c>
      <c r="F172" s="34"/>
      <c r="G172" s="35">
        <v>0.5</v>
      </c>
      <c r="H172" s="35">
        <v>0.8</v>
      </c>
      <c r="I172" s="35" t="s">
        <v>1322</v>
      </c>
      <c r="J172" s="36">
        <v>5</v>
      </c>
      <c r="K172" s="36">
        <v>1300</v>
      </c>
    </row>
    <row r="173" spans="1:11" x14ac:dyDescent="0.2">
      <c r="A173" s="33" t="s">
        <v>2199</v>
      </c>
      <c r="B173" s="33" t="s">
        <v>1276</v>
      </c>
      <c r="C173" s="33" t="str">
        <f t="shared" si="2"/>
        <v xml:space="preserve">  Sulprofos</v>
      </c>
      <c r="D173" s="33" t="s">
        <v>2199</v>
      </c>
      <c r="E173" s="33" t="s">
        <v>680</v>
      </c>
      <c r="F173" s="34"/>
      <c r="G173" s="35">
        <v>1</v>
      </c>
      <c r="H173" s="35">
        <v>0.76666666666666672</v>
      </c>
      <c r="I173" s="35" t="s">
        <v>1323</v>
      </c>
      <c r="J173" s="36">
        <v>42</v>
      </c>
      <c r="K173" s="36">
        <v>701</v>
      </c>
    </row>
    <row r="174" spans="1:11" x14ac:dyDescent="0.2">
      <c r="A174" s="33" t="s">
        <v>915</v>
      </c>
      <c r="B174" s="33" t="s">
        <v>1276</v>
      </c>
      <c r="C174" s="33" t="str">
        <f t="shared" si="2"/>
        <v xml:space="preserve">  Tetraethyl ethylenediphosphonate </v>
      </c>
      <c r="D174" s="33" t="s">
        <v>1324</v>
      </c>
      <c r="E174" s="33" t="s">
        <v>704</v>
      </c>
      <c r="F174" s="33"/>
      <c r="G174" s="35">
        <v>0.875</v>
      </c>
      <c r="H174" s="35">
        <v>0.8833333333333333</v>
      </c>
      <c r="I174" s="35" t="s">
        <v>1325</v>
      </c>
      <c r="J174" s="36">
        <v>8300</v>
      </c>
      <c r="K174" s="36">
        <v>403</v>
      </c>
    </row>
    <row r="175" spans="1:11" x14ac:dyDescent="0.2">
      <c r="A175" s="33" t="s">
        <v>1326</v>
      </c>
      <c r="B175" s="33" t="s">
        <v>1276</v>
      </c>
      <c r="C175" s="33" t="str">
        <f t="shared" si="2"/>
        <v xml:space="preserve">  Tefluthrin</v>
      </c>
      <c r="D175" s="33" t="s">
        <v>1326</v>
      </c>
      <c r="E175" s="33" t="s">
        <v>638</v>
      </c>
      <c r="F175" s="34"/>
      <c r="G175" s="35">
        <v>1</v>
      </c>
      <c r="H175" s="35">
        <v>0.98333333333333328</v>
      </c>
      <c r="I175" s="35" t="s">
        <v>1327</v>
      </c>
      <c r="J175" s="36">
        <v>508</v>
      </c>
      <c r="K175" s="36">
        <v>1400000</v>
      </c>
    </row>
    <row r="176" spans="1:11" x14ac:dyDescent="0.2">
      <c r="A176" s="33" t="s">
        <v>3100</v>
      </c>
      <c r="B176" s="33" t="s">
        <v>1276</v>
      </c>
      <c r="C176" s="33" t="str">
        <f t="shared" si="2"/>
        <v xml:space="preserve">  Trans-permethrin</v>
      </c>
      <c r="D176" s="33" t="s">
        <v>3160</v>
      </c>
      <c r="E176" s="33" t="s">
        <v>618</v>
      </c>
      <c r="F176" s="33" t="s">
        <v>1044</v>
      </c>
      <c r="G176" s="35">
        <v>0.75</v>
      </c>
      <c r="H176" s="35">
        <v>0.43333333333333329</v>
      </c>
      <c r="I176" s="35" t="s">
        <v>1171</v>
      </c>
      <c r="J176" s="36">
        <v>1400</v>
      </c>
      <c r="K176" s="36">
        <v>10</v>
      </c>
    </row>
    <row r="177" spans="1:11" x14ac:dyDescent="0.2">
      <c r="A177" s="33" t="s">
        <v>2222</v>
      </c>
      <c r="B177" s="33" t="s">
        <v>1276</v>
      </c>
      <c r="C177" s="33" t="str">
        <f t="shared" si="2"/>
        <v xml:space="preserve">  Triazophos</v>
      </c>
      <c r="D177" s="33" t="s">
        <v>2222</v>
      </c>
      <c r="E177" s="33" t="s">
        <v>689</v>
      </c>
      <c r="F177" s="34"/>
      <c r="G177" s="35">
        <v>1</v>
      </c>
      <c r="H177" s="35">
        <v>0.93333333333333335</v>
      </c>
      <c r="I177" s="35" t="s">
        <v>1328</v>
      </c>
      <c r="J177" s="36">
        <v>577</v>
      </c>
      <c r="K177" s="36">
        <v>159</v>
      </c>
    </row>
    <row r="178" spans="1:11" x14ac:dyDescent="0.2">
      <c r="A178" s="33" t="s">
        <v>3010</v>
      </c>
      <c r="B178" s="33" t="s">
        <v>1329</v>
      </c>
      <c r="C178" s="33" t="str">
        <f t="shared" si="2"/>
        <v xml:space="preserve">  n-Eicosane</v>
      </c>
      <c r="D178" s="33" t="s">
        <v>3010</v>
      </c>
      <c r="E178" s="33" t="s">
        <v>302</v>
      </c>
      <c r="F178" s="34"/>
      <c r="G178" s="35">
        <v>0.375</v>
      </c>
      <c r="H178" s="35">
        <v>0.75</v>
      </c>
      <c r="I178" s="35" t="s">
        <v>1330</v>
      </c>
      <c r="J178" s="36">
        <v>316</v>
      </c>
      <c r="K178" s="36">
        <v>143</v>
      </c>
    </row>
    <row r="179" spans="1:11" x14ac:dyDescent="0.2">
      <c r="A179" s="33" t="s">
        <v>3020</v>
      </c>
      <c r="B179" s="33" t="s">
        <v>1329</v>
      </c>
      <c r="C179" s="33" t="str">
        <f t="shared" si="2"/>
        <v xml:space="preserve">  n-Triacontane</v>
      </c>
      <c r="D179" s="33" t="s">
        <v>3020</v>
      </c>
      <c r="E179" s="33" t="s">
        <v>312</v>
      </c>
      <c r="F179" s="34"/>
      <c r="G179" s="35">
        <v>0.125</v>
      </c>
      <c r="H179" s="35">
        <v>0.98333333333333328</v>
      </c>
      <c r="I179" s="35" t="s">
        <v>1331</v>
      </c>
      <c r="J179" s="36">
        <v>18</v>
      </c>
      <c r="K179" s="36">
        <v>1100</v>
      </c>
    </row>
    <row r="180" spans="1:11" x14ac:dyDescent="0.2">
      <c r="A180" s="33" t="s">
        <v>947</v>
      </c>
      <c r="B180" s="33" t="s">
        <v>1332</v>
      </c>
      <c r="C180" s="33" t="str">
        <f t="shared" si="2"/>
        <v xml:space="preserve">  Octyl-dimethyl-p-aminobenzoic acid</v>
      </c>
      <c r="D180" s="33" t="s">
        <v>946</v>
      </c>
      <c r="E180" s="33" t="s">
        <v>57</v>
      </c>
      <c r="F180" s="34"/>
      <c r="G180" s="35">
        <v>0.5</v>
      </c>
      <c r="H180" s="35">
        <v>0.81666666666666665</v>
      </c>
      <c r="I180" s="35" t="s">
        <v>1333</v>
      </c>
      <c r="J180" s="36">
        <v>200</v>
      </c>
      <c r="K180" s="36">
        <v>892</v>
      </c>
    </row>
    <row r="181" spans="1:11" x14ac:dyDescent="0.2">
      <c r="A181" s="33" t="s">
        <v>1334</v>
      </c>
      <c r="B181" s="33" t="s">
        <v>1332</v>
      </c>
      <c r="C181" s="33" t="str">
        <f t="shared" si="2"/>
        <v xml:space="preserve">  Occtyl-Methoxycinnamate </v>
      </c>
      <c r="D181" s="33" t="s">
        <v>1335</v>
      </c>
      <c r="E181" s="33" t="s">
        <v>53</v>
      </c>
      <c r="F181" s="34"/>
      <c r="G181" s="35">
        <v>0.875</v>
      </c>
      <c r="H181" s="35">
        <v>0.8833333333333333</v>
      </c>
      <c r="I181" s="35" t="s">
        <v>1336</v>
      </c>
      <c r="J181" s="36">
        <v>439</v>
      </c>
      <c r="K181" s="36">
        <v>20000</v>
      </c>
    </row>
    <row r="182" spans="1:11" x14ac:dyDescent="0.2">
      <c r="A182" s="33" t="s">
        <v>1337</v>
      </c>
      <c r="B182" s="33" t="s">
        <v>1332</v>
      </c>
      <c r="C182" s="33" t="str">
        <f t="shared" si="2"/>
        <v xml:space="preserve">  Benzophenone-3 </v>
      </c>
      <c r="D182" s="33" t="s">
        <v>1338</v>
      </c>
      <c r="E182" s="33" t="s">
        <v>50</v>
      </c>
      <c r="F182" s="34"/>
      <c r="G182" s="35">
        <v>1</v>
      </c>
      <c r="H182" s="35">
        <v>0.95</v>
      </c>
      <c r="I182" s="35" t="s">
        <v>1339</v>
      </c>
      <c r="J182" s="36">
        <v>1000</v>
      </c>
      <c r="K182" s="36">
        <v>973</v>
      </c>
    </row>
    <row r="183" spans="1:11" x14ac:dyDescent="0.2">
      <c r="A183" s="33" t="s">
        <v>1521</v>
      </c>
      <c r="B183" s="33" t="s">
        <v>1340</v>
      </c>
      <c r="C183" s="33" t="str">
        <f t="shared" si="2"/>
        <v xml:space="preserve">  PCB-105</v>
      </c>
      <c r="D183" s="33" t="s">
        <v>1521</v>
      </c>
      <c r="E183" s="33" t="s">
        <v>297</v>
      </c>
      <c r="F183" s="33">
        <v>1</v>
      </c>
      <c r="G183" s="35">
        <v>0.125</v>
      </c>
      <c r="H183" s="35">
        <v>3.3333333333333333E-2</v>
      </c>
      <c r="I183" s="35" t="s">
        <v>1341</v>
      </c>
      <c r="J183" s="36">
        <v>75</v>
      </c>
      <c r="K183" s="36">
        <v>17</v>
      </c>
    </row>
    <row r="184" spans="1:11" x14ac:dyDescent="0.2">
      <c r="A184" s="33" t="s">
        <v>1342</v>
      </c>
      <c r="B184" s="33" t="s">
        <v>1340</v>
      </c>
      <c r="C184" s="33" t="str">
        <f t="shared" si="2"/>
        <v xml:space="preserve">  PCB-132</v>
      </c>
      <c r="D184" s="33" t="s">
        <v>1342</v>
      </c>
      <c r="E184" s="33" t="s">
        <v>284</v>
      </c>
      <c r="F184" s="33">
        <v>1</v>
      </c>
      <c r="G184" s="35">
        <v>0.75</v>
      </c>
      <c r="H184" s="35">
        <v>0.16666666666666671</v>
      </c>
      <c r="I184" s="35" t="s">
        <v>1343</v>
      </c>
      <c r="J184" s="36">
        <v>467</v>
      </c>
      <c r="K184" s="36">
        <v>27</v>
      </c>
    </row>
    <row r="185" spans="1:11" x14ac:dyDescent="0.2">
      <c r="A185" s="33" t="s">
        <v>1525</v>
      </c>
      <c r="B185" s="33" t="s">
        <v>1340</v>
      </c>
      <c r="C185" s="33" t="str">
        <f t="shared" si="2"/>
        <v xml:space="preserve">  PCB-138</v>
      </c>
      <c r="D185" s="33" t="s">
        <v>1525</v>
      </c>
      <c r="E185" s="33" t="s">
        <v>296</v>
      </c>
      <c r="F185" s="33">
        <v>1</v>
      </c>
      <c r="G185" s="35">
        <v>0.5</v>
      </c>
      <c r="H185" s="35">
        <v>0.05</v>
      </c>
      <c r="I185" s="35" t="s">
        <v>1344</v>
      </c>
      <c r="J185" s="36">
        <v>324</v>
      </c>
      <c r="K185" s="36">
        <v>17</v>
      </c>
    </row>
    <row r="186" spans="1:11" x14ac:dyDescent="0.2">
      <c r="A186" s="33" t="s">
        <v>1345</v>
      </c>
      <c r="B186" s="33" t="s">
        <v>1340</v>
      </c>
      <c r="C186" s="33" t="str">
        <f t="shared" si="2"/>
        <v xml:space="preserve">  PCB-153</v>
      </c>
      <c r="D186" s="33" t="s">
        <v>1345</v>
      </c>
      <c r="E186" s="33" t="s">
        <v>283</v>
      </c>
      <c r="F186" s="33">
        <v>1</v>
      </c>
      <c r="G186" s="35">
        <v>0.625</v>
      </c>
      <c r="H186" s="35">
        <v>0.1</v>
      </c>
      <c r="I186" s="35" t="s">
        <v>1346</v>
      </c>
      <c r="J186" s="36">
        <v>128</v>
      </c>
      <c r="K186" s="36">
        <v>39</v>
      </c>
    </row>
    <row r="187" spans="1:11" x14ac:dyDescent="0.2">
      <c r="A187" s="33" t="s">
        <v>1532</v>
      </c>
      <c r="B187" s="33" t="s">
        <v>1340</v>
      </c>
      <c r="C187" s="33" t="str">
        <f t="shared" si="2"/>
        <v xml:space="preserve">  PCB-172</v>
      </c>
      <c r="D187" s="33" t="s">
        <v>1532</v>
      </c>
      <c r="E187" s="33" t="s">
        <v>295</v>
      </c>
      <c r="F187" s="33">
        <v>1</v>
      </c>
      <c r="G187" s="35">
        <v>0.5</v>
      </c>
      <c r="H187" s="35">
        <v>3.3333333333333333E-2</v>
      </c>
      <c r="I187" s="35" t="s">
        <v>1347</v>
      </c>
      <c r="J187" s="36">
        <v>911</v>
      </c>
      <c r="K187" s="36">
        <v>45</v>
      </c>
    </row>
    <row r="188" spans="1:11" x14ac:dyDescent="0.2">
      <c r="A188" s="33" t="s">
        <v>1535</v>
      </c>
      <c r="B188" s="33" t="s">
        <v>1340</v>
      </c>
      <c r="C188" s="33" t="str">
        <f t="shared" si="2"/>
        <v xml:space="preserve">  PCB-180</v>
      </c>
      <c r="D188" s="33" t="s">
        <v>1535</v>
      </c>
      <c r="E188" s="33" t="s">
        <v>294</v>
      </c>
      <c r="F188" s="33">
        <v>1</v>
      </c>
      <c r="G188" s="35">
        <v>0.25</v>
      </c>
      <c r="H188" s="35">
        <v>3.3333333333333333E-2</v>
      </c>
      <c r="I188" s="35" t="s">
        <v>1348</v>
      </c>
      <c r="J188" s="36">
        <v>500</v>
      </c>
      <c r="K188" s="36">
        <v>46</v>
      </c>
    </row>
    <row r="189" spans="1:11" x14ac:dyDescent="0.2">
      <c r="A189" s="33" t="s">
        <v>1539</v>
      </c>
      <c r="B189" s="33" t="s">
        <v>1340</v>
      </c>
      <c r="C189" s="33" t="str">
        <f t="shared" si="2"/>
        <v xml:space="preserve">  PCB-187</v>
      </c>
      <c r="D189" s="33" t="s">
        <v>1539</v>
      </c>
      <c r="E189" s="33" t="s">
        <v>293</v>
      </c>
      <c r="F189" s="33">
        <v>1</v>
      </c>
      <c r="G189" s="35">
        <v>0.375</v>
      </c>
      <c r="H189" s="35">
        <v>1.666666666666667E-2</v>
      </c>
      <c r="I189" s="35" t="s">
        <v>1349</v>
      </c>
      <c r="J189" s="36">
        <v>114</v>
      </c>
      <c r="K189" s="36">
        <v>16</v>
      </c>
    </row>
    <row r="190" spans="1:11" x14ac:dyDescent="0.2">
      <c r="A190" s="33" t="s">
        <v>1543</v>
      </c>
      <c r="B190" s="33" t="s">
        <v>1340</v>
      </c>
      <c r="C190" s="33" t="str">
        <f t="shared" si="2"/>
        <v xml:space="preserve">  PCB-191</v>
      </c>
      <c r="D190" s="33" t="s">
        <v>1543</v>
      </c>
      <c r="E190" s="33" t="s">
        <v>292</v>
      </c>
      <c r="F190" s="33">
        <v>1</v>
      </c>
      <c r="G190" s="35">
        <v>0.25</v>
      </c>
      <c r="H190" s="35">
        <v>8.3333333333333329E-2</v>
      </c>
      <c r="I190" s="35" t="s">
        <v>1350</v>
      </c>
      <c r="J190" s="36">
        <v>154</v>
      </c>
      <c r="K190" s="36">
        <v>34</v>
      </c>
    </row>
    <row r="191" spans="1:11" x14ac:dyDescent="0.2">
      <c r="A191" s="33" t="s">
        <v>1545</v>
      </c>
      <c r="B191" s="33" t="s">
        <v>1340</v>
      </c>
      <c r="C191" s="33" t="str">
        <f t="shared" si="2"/>
        <v xml:space="preserve">  PCB-70</v>
      </c>
      <c r="D191" s="33" t="s">
        <v>1545</v>
      </c>
      <c r="E191" s="33" t="s">
        <v>281</v>
      </c>
      <c r="F191" s="33">
        <v>1</v>
      </c>
      <c r="G191" s="35">
        <v>0.125</v>
      </c>
      <c r="H191" s="35">
        <v>1.666666666666667E-2</v>
      </c>
      <c r="I191" s="35" t="s">
        <v>1351</v>
      </c>
      <c r="J191" s="36">
        <v>16</v>
      </c>
      <c r="K191" s="36">
        <v>7</v>
      </c>
    </row>
    <row r="192" spans="1:11" x14ac:dyDescent="0.2">
      <c r="A192" s="33" t="s">
        <v>953</v>
      </c>
      <c r="B192" s="33" t="s">
        <v>1352</v>
      </c>
      <c r="C192" s="33" t="s">
        <v>1353</v>
      </c>
      <c r="D192" s="33" t="s">
        <v>952</v>
      </c>
      <c r="E192" s="33" t="s">
        <v>274</v>
      </c>
      <c r="F192" s="34"/>
      <c r="G192" s="35">
        <v>0.875</v>
      </c>
      <c r="H192" s="35">
        <v>0.81666666666666665</v>
      </c>
      <c r="I192" s="35" t="s">
        <v>1354</v>
      </c>
      <c r="J192" s="36">
        <v>29</v>
      </c>
      <c r="K192" s="36">
        <v>14000</v>
      </c>
    </row>
    <row r="193" spans="1:11" x14ac:dyDescent="0.2">
      <c r="A193" s="33" t="s">
        <v>1355</v>
      </c>
      <c r="B193" s="33" t="s">
        <v>1352</v>
      </c>
      <c r="C193" s="33" t="str">
        <f t="shared" si="2"/>
        <v xml:space="preserve">  Perfluorohexanoic Acid</v>
      </c>
      <c r="D193" s="33" t="s">
        <v>1356</v>
      </c>
      <c r="E193" s="33" t="s">
        <v>267</v>
      </c>
      <c r="F193" s="34"/>
      <c r="G193" s="35">
        <v>0.125</v>
      </c>
      <c r="H193" s="35">
        <v>0.96666666666666667</v>
      </c>
      <c r="I193" s="35" t="s">
        <v>1357</v>
      </c>
      <c r="J193" s="36">
        <v>464</v>
      </c>
      <c r="K193" s="36">
        <v>893</v>
      </c>
    </row>
    <row r="194" spans="1:11" x14ac:dyDescent="0.2">
      <c r="A194" s="33" t="s">
        <v>1845</v>
      </c>
      <c r="B194" s="33" t="s">
        <v>1352</v>
      </c>
      <c r="C194" s="33" t="str">
        <f t="shared" si="2"/>
        <v xml:space="preserve">  Perfluorononanoic acid</v>
      </c>
      <c r="D194" s="33" t="s">
        <v>3140</v>
      </c>
      <c r="E194" s="33" t="s">
        <v>276</v>
      </c>
      <c r="F194" s="34"/>
      <c r="G194" s="35">
        <v>0.875</v>
      </c>
      <c r="H194" s="35">
        <v>0.55000000000000004</v>
      </c>
      <c r="I194" s="35" t="s">
        <v>1358</v>
      </c>
      <c r="J194" s="36">
        <v>853</v>
      </c>
      <c r="K194" s="36">
        <v>8100</v>
      </c>
    </row>
    <row r="195" spans="1:11" x14ac:dyDescent="0.2">
      <c r="A195" s="33" t="s">
        <v>1359</v>
      </c>
      <c r="B195" s="33" t="s">
        <v>1352</v>
      </c>
      <c r="C195" s="33" t="str">
        <f t="shared" ref="C195:C249" si="3">_xlfn.CONCAT("  ",D195)</f>
        <v xml:space="preserve">  Perfluoro-n-tetradecanoic acid</v>
      </c>
      <c r="D195" s="33" t="s">
        <v>1360</v>
      </c>
      <c r="E195" s="33" t="s">
        <v>269</v>
      </c>
      <c r="F195" s="34"/>
      <c r="G195" s="35">
        <v>1</v>
      </c>
      <c r="H195" s="35">
        <v>0.5</v>
      </c>
      <c r="I195" s="35" t="s">
        <v>1361</v>
      </c>
      <c r="J195" s="36">
        <v>678</v>
      </c>
      <c r="K195" s="36">
        <v>1200000</v>
      </c>
    </row>
    <row r="196" spans="1:11" x14ac:dyDescent="0.2">
      <c r="A196" s="33" t="s">
        <v>1362</v>
      </c>
      <c r="B196" s="33" t="s">
        <v>1363</v>
      </c>
      <c r="C196" s="33" t="str">
        <f t="shared" si="3"/>
        <v xml:space="preserve">  Caffeine</v>
      </c>
      <c r="D196" s="33" t="s">
        <v>1362</v>
      </c>
      <c r="E196" s="33" t="s">
        <v>37</v>
      </c>
      <c r="F196" s="33" t="s">
        <v>1044</v>
      </c>
      <c r="G196" s="35">
        <v>0.5</v>
      </c>
      <c r="H196" s="35">
        <v>1</v>
      </c>
      <c r="I196" s="35" t="s">
        <v>1364</v>
      </c>
      <c r="J196" s="36">
        <v>921</v>
      </c>
      <c r="K196" s="36">
        <v>220000</v>
      </c>
    </row>
    <row r="197" spans="1:11" x14ac:dyDescent="0.2">
      <c r="A197" s="33" t="s">
        <v>2844</v>
      </c>
      <c r="B197" s="33" t="s">
        <v>1363</v>
      </c>
      <c r="C197" s="33" t="str">
        <f t="shared" si="3"/>
        <v xml:space="preserve">  Methapyrilene</v>
      </c>
      <c r="D197" s="33" t="s">
        <v>2844</v>
      </c>
      <c r="E197" s="33" t="s">
        <v>43</v>
      </c>
      <c r="F197" s="34"/>
      <c r="G197" s="35">
        <v>1</v>
      </c>
      <c r="H197" s="35">
        <v>1</v>
      </c>
      <c r="I197" s="35" t="s">
        <v>1365</v>
      </c>
      <c r="J197" s="36">
        <v>460000</v>
      </c>
      <c r="K197" s="36">
        <v>24000</v>
      </c>
    </row>
    <row r="198" spans="1:11" x14ac:dyDescent="0.2">
      <c r="A198" s="33" t="s">
        <v>1366</v>
      </c>
      <c r="B198" s="33" t="s">
        <v>1363</v>
      </c>
      <c r="C198" s="33" t="str">
        <f>_xlfn.CONCAT("  ",D198)</f>
        <v xml:space="preserve">  (±)-Nicotine</v>
      </c>
      <c r="D198" s="33" t="s">
        <v>3375</v>
      </c>
      <c r="E198" s="33" t="s">
        <v>40</v>
      </c>
      <c r="F198" s="34"/>
      <c r="G198" s="35">
        <v>0.125</v>
      </c>
      <c r="H198" s="35">
        <v>1.666666666666667E-2</v>
      </c>
      <c r="I198" s="35" t="s">
        <v>1367</v>
      </c>
      <c r="J198" s="36">
        <v>2300</v>
      </c>
      <c r="K198" s="36">
        <v>1700</v>
      </c>
    </row>
    <row r="199" spans="1:11" x14ac:dyDescent="0.2">
      <c r="A199" s="33" t="s">
        <v>1368</v>
      </c>
      <c r="B199" s="33" t="s">
        <v>1363</v>
      </c>
      <c r="C199" s="33" t="str">
        <f t="shared" si="3"/>
        <v xml:space="preserve">  Phenacetin</v>
      </c>
      <c r="D199" s="33" t="s">
        <v>1368</v>
      </c>
      <c r="E199" s="33" t="s">
        <v>45</v>
      </c>
      <c r="F199" s="33">
        <v>1</v>
      </c>
      <c r="G199" s="35">
        <v>0.25</v>
      </c>
      <c r="H199" s="35">
        <v>0.91666666666666663</v>
      </c>
      <c r="I199" s="35" t="s">
        <v>1369</v>
      </c>
      <c r="J199" s="36">
        <v>88</v>
      </c>
      <c r="K199" s="36">
        <v>354</v>
      </c>
    </row>
    <row r="200" spans="1:11" x14ac:dyDescent="0.2">
      <c r="A200" s="33" t="s">
        <v>2131</v>
      </c>
      <c r="B200" s="33" t="s">
        <v>1370</v>
      </c>
      <c r="C200" s="33" t="str">
        <f t="shared" si="3"/>
        <v xml:space="preserve">  Chlorpropham</v>
      </c>
      <c r="D200" s="33" t="s">
        <v>2131</v>
      </c>
      <c r="E200" s="33" t="s">
        <v>599</v>
      </c>
      <c r="F200" s="33" t="s">
        <v>1044</v>
      </c>
      <c r="G200" s="35">
        <v>0.5</v>
      </c>
      <c r="H200" s="35">
        <v>0.66666666666666663</v>
      </c>
      <c r="I200" s="35" t="s">
        <v>1371</v>
      </c>
      <c r="J200" s="36">
        <v>554</v>
      </c>
      <c r="K200" s="36">
        <v>1100</v>
      </c>
    </row>
    <row r="201" spans="1:11" x14ac:dyDescent="0.2">
      <c r="A201" s="33" t="s">
        <v>2093</v>
      </c>
      <c r="B201" s="33" t="s">
        <v>1370</v>
      </c>
      <c r="C201" s="33" t="str">
        <f t="shared" si="3"/>
        <v xml:space="preserve">  Paclobutrazol</v>
      </c>
      <c r="D201" s="33" t="s">
        <v>2093</v>
      </c>
      <c r="E201" s="33" t="s">
        <v>603</v>
      </c>
      <c r="F201" s="34"/>
      <c r="G201" s="35">
        <v>0.625</v>
      </c>
      <c r="H201" s="35">
        <v>0.15</v>
      </c>
      <c r="I201" s="35" t="s">
        <v>1372</v>
      </c>
      <c r="J201" s="36">
        <v>26</v>
      </c>
      <c r="K201" s="36">
        <v>136</v>
      </c>
    </row>
    <row r="202" spans="1:11" x14ac:dyDescent="0.2">
      <c r="A202" s="33" t="s">
        <v>3210</v>
      </c>
      <c r="B202" s="33" t="s">
        <v>1370</v>
      </c>
      <c r="C202" s="33" t="str">
        <f t="shared" si="3"/>
        <v xml:space="preserve">  2,3,4,5-Tetrabromobenzoic acid</v>
      </c>
      <c r="D202" s="33" t="s">
        <v>2452</v>
      </c>
      <c r="E202" s="33" t="s">
        <v>601</v>
      </c>
      <c r="F202" s="34"/>
      <c r="G202" s="35">
        <v>1</v>
      </c>
      <c r="H202" s="35">
        <v>0.75</v>
      </c>
      <c r="I202" s="35" t="s">
        <v>1373</v>
      </c>
      <c r="J202" s="36">
        <v>700</v>
      </c>
      <c r="K202" s="36">
        <v>51</v>
      </c>
    </row>
    <row r="203" spans="1:11" x14ac:dyDescent="0.2">
      <c r="A203" s="33" t="s">
        <v>1374</v>
      </c>
      <c r="B203" s="33" t="s">
        <v>1375</v>
      </c>
      <c r="C203" s="33" t="str">
        <f t="shared" si="3"/>
        <v xml:space="preserve">  Butyl benzyl phthalate </v>
      </c>
      <c r="D203" s="33" t="s">
        <v>1376</v>
      </c>
      <c r="E203" s="33" t="s">
        <v>244</v>
      </c>
      <c r="F203" s="33" t="s">
        <v>1044</v>
      </c>
      <c r="G203" s="35">
        <v>1</v>
      </c>
      <c r="H203" s="35">
        <v>0.81666666666666665</v>
      </c>
      <c r="I203" s="35" t="s">
        <v>1377</v>
      </c>
      <c r="J203" s="36">
        <v>3500</v>
      </c>
      <c r="K203" s="36">
        <v>2600</v>
      </c>
    </row>
    <row r="204" spans="1:11" x14ac:dyDescent="0.2">
      <c r="A204" s="33" t="s">
        <v>3177</v>
      </c>
      <c r="B204" s="33" t="s">
        <v>1375</v>
      </c>
      <c r="C204" s="33" t="str">
        <f t="shared" si="3"/>
        <v xml:space="preserve">  Bisphenol A</v>
      </c>
      <c r="D204" s="33" t="s">
        <v>3246</v>
      </c>
      <c r="E204" s="33" t="s">
        <v>241</v>
      </c>
      <c r="F204" s="34"/>
      <c r="G204" s="35">
        <v>1</v>
      </c>
      <c r="H204" s="35">
        <v>0.95</v>
      </c>
      <c r="I204" s="35" t="s">
        <v>1378</v>
      </c>
      <c r="J204" s="36">
        <v>540</v>
      </c>
      <c r="K204" s="36">
        <v>7300</v>
      </c>
    </row>
    <row r="205" spans="1:11" x14ac:dyDescent="0.2">
      <c r="A205" s="33" t="s">
        <v>3178</v>
      </c>
      <c r="B205" s="33" t="s">
        <v>1375</v>
      </c>
      <c r="C205" s="33" t="str">
        <f t="shared" si="3"/>
        <v xml:space="preserve">  Bisphenol F</v>
      </c>
      <c r="D205" s="33" t="s">
        <v>2500</v>
      </c>
      <c r="E205" s="33" t="s">
        <v>239</v>
      </c>
      <c r="F205" s="34"/>
      <c r="G205" s="35">
        <v>0.125</v>
      </c>
      <c r="H205" s="35">
        <v>0.53333333333333333</v>
      </c>
      <c r="I205" s="35" t="s">
        <v>1379</v>
      </c>
      <c r="J205" s="36">
        <v>2800</v>
      </c>
      <c r="K205" s="36">
        <v>321</v>
      </c>
    </row>
    <row r="206" spans="1:11" x14ac:dyDescent="0.2">
      <c r="A206" s="33" t="s">
        <v>3179</v>
      </c>
      <c r="B206" s="33" t="s">
        <v>1375</v>
      </c>
      <c r="C206" s="33" t="str">
        <f t="shared" si="3"/>
        <v xml:space="preserve">  Bisphenol S</v>
      </c>
      <c r="D206" s="33" t="s">
        <v>2502</v>
      </c>
      <c r="E206" s="33" t="s">
        <v>237</v>
      </c>
      <c r="F206" s="34"/>
      <c r="G206" s="35">
        <v>0.125</v>
      </c>
      <c r="H206" s="35">
        <v>0.56666666666666665</v>
      </c>
      <c r="I206" s="35" t="s">
        <v>1380</v>
      </c>
      <c r="J206" s="36">
        <v>14</v>
      </c>
      <c r="K206" s="36">
        <v>173</v>
      </c>
    </row>
    <row r="207" spans="1:11" x14ac:dyDescent="0.2">
      <c r="A207" s="33" t="s">
        <v>3204</v>
      </c>
      <c r="B207" s="33" t="s">
        <v>1375</v>
      </c>
      <c r="C207" s="33" t="str">
        <f t="shared" si="3"/>
        <v xml:space="preserve">  Bis(2-Ethylhexyl)phthalate</v>
      </c>
      <c r="D207" s="33" t="s">
        <v>3169</v>
      </c>
      <c r="E207" s="33" t="s">
        <v>246</v>
      </c>
      <c r="F207" s="34" t="s">
        <v>69</v>
      </c>
      <c r="G207" s="35">
        <v>0.625</v>
      </c>
      <c r="H207" s="35">
        <v>0.81666666666666665</v>
      </c>
      <c r="I207" s="35" t="s">
        <v>1381</v>
      </c>
      <c r="J207" s="36">
        <v>350000</v>
      </c>
      <c r="K207" s="36">
        <v>2700</v>
      </c>
    </row>
    <row r="208" spans="1:11" x14ac:dyDescent="0.2">
      <c r="A208" s="33" t="s">
        <v>1382</v>
      </c>
      <c r="B208" s="33" t="s">
        <v>1375</v>
      </c>
      <c r="C208" s="33" t="str">
        <f t="shared" si="3"/>
        <v xml:space="preserve">  Diethyl phthalate </v>
      </c>
      <c r="D208" s="33" t="s">
        <v>1383</v>
      </c>
      <c r="E208" s="33" t="s">
        <v>252</v>
      </c>
      <c r="F208" s="34"/>
      <c r="G208" s="35">
        <v>1</v>
      </c>
      <c r="H208" s="35">
        <v>0.8833333333333333</v>
      </c>
      <c r="I208" s="35" t="s">
        <v>1384</v>
      </c>
      <c r="J208" s="36">
        <v>718</v>
      </c>
      <c r="K208" s="36">
        <v>7600</v>
      </c>
    </row>
    <row r="209" spans="1:11" x14ac:dyDescent="0.2">
      <c r="A209" s="33" t="s">
        <v>1385</v>
      </c>
      <c r="B209" s="33" t="s">
        <v>1375</v>
      </c>
      <c r="C209" s="33" t="str">
        <f t="shared" si="3"/>
        <v xml:space="preserve">  Di-n-butyl phthalate </v>
      </c>
      <c r="D209" s="33" t="s">
        <v>1386</v>
      </c>
      <c r="E209" s="33" t="s">
        <v>262</v>
      </c>
      <c r="F209" s="34"/>
      <c r="G209" s="35">
        <v>0.875</v>
      </c>
      <c r="H209" s="35">
        <v>0.93333333333333335</v>
      </c>
      <c r="I209" s="35" t="s">
        <v>1182</v>
      </c>
      <c r="J209" s="36">
        <v>53</v>
      </c>
      <c r="K209" s="36">
        <v>279</v>
      </c>
    </row>
    <row r="210" spans="1:11" x14ac:dyDescent="0.2">
      <c r="A210" s="33" t="s">
        <v>3189</v>
      </c>
      <c r="B210" s="33" t="s">
        <v>1375</v>
      </c>
      <c r="C210" s="33" t="str">
        <f t="shared" si="3"/>
        <v xml:space="preserve">  Dimethyl phthalate</v>
      </c>
      <c r="D210" s="33" t="s">
        <v>2234</v>
      </c>
      <c r="E210" s="33" t="s">
        <v>260</v>
      </c>
      <c r="F210" s="34"/>
      <c r="G210" s="35">
        <v>1</v>
      </c>
      <c r="H210" s="35">
        <v>0.83333333333333337</v>
      </c>
      <c r="I210" s="35" t="s">
        <v>1387</v>
      </c>
      <c r="J210" s="36">
        <v>6000</v>
      </c>
      <c r="K210" s="36">
        <v>4200</v>
      </c>
    </row>
    <row r="211" spans="1:11" x14ac:dyDescent="0.2">
      <c r="A211" s="33" t="s">
        <v>1388</v>
      </c>
      <c r="B211" s="33" t="s">
        <v>1375</v>
      </c>
      <c r="C211" s="33" t="str">
        <f t="shared" si="3"/>
        <v xml:space="preserve">  Di-n-octyl phthalate </v>
      </c>
      <c r="D211" s="33" t="s">
        <v>1389</v>
      </c>
      <c r="E211" s="33" t="s">
        <v>261</v>
      </c>
      <c r="F211" s="34"/>
      <c r="G211" s="35">
        <v>1</v>
      </c>
      <c r="H211" s="35">
        <v>0.85</v>
      </c>
      <c r="I211" s="35" t="s">
        <v>1390</v>
      </c>
      <c r="J211" s="36">
        <v>380000</v>
      </c>
      <c r="K211" s="36">
        <v>3500</v>
      </c>
    </row>
    <row r="212" spans="1:11" x14ac:dyDescent="0.2">
      <c r="A212" s="33" t="s">
        <v>1391</v>
      </c>
      <c r="B212" s="33" t="s">
        <v>1375</v>
      </c>
      <c r="C212" s="33" t="str">
        <f t="shared" si="3"/>
        <v xml:space="preserve">  2-Ethylhexyldiphenylphosphate </v>
      </c>
      <c r="D212" s="33" t="s">
        <v>1392</v>
      </c>
      <c r="E212" s="33" t="s">
        <v>256</v>
      </c>
      <c r="F212" s="34"/>
      <c r="G212" s="35">
        <v>1</v>
      </c>
      <c r="H212" s="35">
        <v>0.75</v>
      </c>
      <c r="I212" s="35" t="s">
        <v>1393</v>
      </c>
      <c r="J212" s="36">
        <v>1</v>
      </c>
      <c r="K212" s="36">
        <v>640</v>
      </c>
    </row>
    <row r="213" spans="1:11" x14ac:dyDescent="0.2">
      <c r="A213" s="33" t="s">
        <v>3377</v>
      </c>
      <c r="B213" s="33" t="s">
        <v>1375</v>
      </c>
      <c r="C213" s="33" t="str">
        <f t="shared" si="3"/>
        <v xml:space="preserve">  Mono(5-carboxy-2-ethylpentyl) phthalate</v>
      </c>
      <c r="D213" s="33" t="s">
        <v>966</v>
      </c>
      <c r="E213" s="33" t="s">
        <v>220</v>
      </c>
      <c r="F213" s="34"/>
      <c r="G213" s="35">
        <v>0.25</v>
      </c>
      <c r="H213" s="35">
        <v>0.76666666666666672</v>
      </c>
      <c r="I213" s="35" t="s">
        <v>1394</v>
      </c>
      <c r="J213" s="36">
        <v>582</v>
      </c>
      <c r="K213" s="36">
        <v>309</v>
      </c>
    </row>
    <row r="214" spans="1:11" x14ac:dyDescent="0.2">
      <c r="A214" s="33" t="s">
        <v>1395</v>
      </c>
      <c r="B214" s="33" t="s">
        <v>1375</v>
      </c>
      <c r="C214" s="33" t="str">
        <f t="shared" si="3"/>
        <v xml:space="preserve">  Mono-2-ethylhexyl phthalate</v>
      </c>
      <c r="D214" s="33" t="s">
        <v>1396</v>
      </c>
      <c r="E214" s="33" t="s">
        <v>232</v>
      </c>
      <c r="F214" s="34"/>
      <c r="G214" s="35">
        <v>0.875</v>
      </c>
      <c r="H214" s="35">
        <v>0.95</v>
      </c>
      <c r="I214" s="35" t="s">
        <v>1397</v>
      </c>
      <c r="J214" s="36">
        <v>3900</v>
      </c>
      <c r="K214" s="36">
        <v>657</v>
      </c>
    </row>
    <row r="215" spans="1:11" x14ac:dyDescent="0.2">
      <c r="A215" s="33" t="s">
        <v>1398</v>
      </c>
      <c r="B215" s="33" t="s">
        <v>1375</v>
      </c>
      <c r="C215" s="33" t="str">
        <f t="shared" si="3"/>
        <v xml:space="preserve">  Mono-ethyl phthalate</v>
      </c>
      <c r="D215" s="33" t="s">
        <v>1399</v>
      </c>
      <c r="E215" s="33" t="s">
        <v>212</v>
      </c>
      <c r="F215" s="34"/>
      <c r="G215" s="35">
        <v>1</v>
      </c>
      <c r="H215" s="35">
        <v>0.9</v>
      </c>
      <c r="I215" s="35" t="s">
        <v>1400</v>
      </c>
      <c r="J215" s="36">
        <v>12000</v>
      </c>
      <c r="K215" s="36">
        <v>510</v>
      </c>
    </row>
    <row r="216" spans="1:11" x14ac:dyDescent="0.2">
      <c r="A216" s="33" t="s">
        <v>1401</v>
      </c>
      <c r="B216" s="33" t="s">
        <v>1375</v>
      </c>
      <c r="C216" s="33" t="str">
        <f t="shared" si="3"/>
        <v xml:space="preserve">  Mono-isobutyl phthalate</v>
      </c>
      <c r="D216" s="33" t="s">
        <v>1402</v>
      </c>
      <c r="E216" s="33" t="s">
        <v>218</v>
      </c>
      <c r="F216" s="34"/>
      <c r="G216" s="35">
        <v>0.125</v>
      </c>
      <c r="H216" s="35">
        <v>0.65</v>
      </c>
      <c r="I216" s="35" t="s">
        <v>1403</v>
      </c>
      <c r="J216" s="36">
        <v>235</v>
      </c>
      <c r="K216" s="36">
        <v>348</v>
      </c>
    </row>
    <row r="217" spans="1:11" x14ac:dyDescent="0.2">
      <c r="A217" s="33" t="s">
        <v>1404</v>
      </c>
      <c r="B217" s="33" t="s">
        <v>1375</v>
      </c>
      <c r="C217" s="33" t="str">
        <f t="shared" si="3"/>
        <v xml:space="preserve">  Mono-methyl phthalate</v>
      </c>
      <c r="D217" s="33" t="s">
        <v>1405</v>
      </c>
      <c r="E217" s="33" t="s">
        <v>214</v>
      </c>
      <c r="F217" s="34"/>
      <c r="G217" s="35">
        <v>1</v>
      </c>
      <c r="H217" s="35">
        <v>0.98333333333333328</v>
      </c>
      <c r="I217" s="35" t="s">
        <v>1406</v>
      </c>
      <c r="J217" s="36">
        <v>70000</v>
      </c>
      <c r="K217" s="36">
        <v>2300</v>
      </c>
    </row>
    <row r="218" spans="1:11" x14ac:dyDescent="0.2">
      <c r="A218" s="33" t="s">
        <v>1407</v>
      </c>
      <c r="B218" s="33" t="s">
        <v>1375</v>
      </c>
      <c r="C218" s="33" t="str">
        <f t="shared" si="3"/>
        <v xml:space="preserve">  Mono-n-butyl phthalate</v>
      </c>
      <c r="D218" s="33" t="s">
        <v>1408</v>
      </c>
      <c r="E218" s="33" t="s">
        <v>229</v>
      </c>
      <c r="F218" s="34"/>
      <c r="G218" s="35">
        <v>0.25</v>
      </c>
      <c r="H218" s="35">
        <v>0.6333333333333333</v>
      </c>
      <c r="I218" s="35" t="s">
        <v>1409</v>
      </c>
      <c r="J218" s="36">
        <v>427</v>
      </c>
      <c r="K218" s="36">
        <v>448</v>
      </c>
    </row>
    <row r="219" spans="1:11" x14ac:dyDescent="0.2">
      <c r="A219" s="33" t="s">
        <v>3196</v>
      </c>
      <c r="B219" s="33" t="s">
        <v>1375</v>
      </c>
      <c r="C219" s="33" t="str">
        <f t="shared" si="3"/>
        <v xml:space="preserve">  Mono-n-octyl phthalate</v>
      </c>
      <c r="D219" s="33" t="s">
        <v>3168</v>
      </c>
      <c r="E219" s="33" t="s">
        <v>231</v>
      </c>
      <c r="F219" s="34"/>
      <c r="G219" s="35">
        <v>0.125</v>
      </c>
      <c r="H219" s="35">
        <v>0.98333333333333328</v>
      </c>
      <c r="I219" s="35" t="s">
        <v>1410</v>
      </c>
      <c r="J219" s="36">
        <v>97</v>
      </c>
      <c r="K219" s="36">
        <v>159</v>
      </c>
    </row>
    <row r="220" spans="1:11" x14ac:dyDescent="0.2">
      <c r="A220" s="33" t="s">
        <v>1411</v>
      </c>
      <c r="B220" s="33" t="s">
        <v>1375</v>
      </c>
      <c r="C220" s="33" t="str">
        <f t="shared" si="3"/>
        <v xml:space="preserve">  Tris(2-butoxyethyl) phosphate</v>
      </c>
      <c r="D220" s="33" t="s">
        <v>1412</v>
      </c>
      <c r="E220" s="33" t="s">
        <v>254</v>
      </c>
      <c r="F220" s="34"/>
      <c r="G220" s="35">
        <v>1</v>
      </c>
      <c r="H220" s="35">
        <v>0.7</v>
      </c>
      <c r="I220" s="35" t="s">
        <v>1413</v>
      </c>
      <c r="J220" s="36">
        <v>5600</v>
      </c>
      <c r="K220" s="36">
        <v>62000</v>
      </c>
    </row>
    <row r="221" spans="1:11" x14ac:dyDescent="0.2">
      <c r="A221" s="33" t="s">
        <v>1414</v>
      </c>
      <c r="B221" s="33" t="s">
        <v>1375</v>
      </c>
      <c r="C221" s="33" t="str">
        <f t="shared" si="3"/>
        <v xml:space="preserve">  Tris(2-ethylhexyl) phosphate</v>
      </c>
      <c r="D221" s="33" t="s">
        <v>1415</v>
      </c>
      <c r="E221" s="33" t="s">
        <v>249</v>
      </c>
      <c r="F221" s="34"/>
      <c r="G221" s="35">
        <v>0.625</v>
      </c>
      <c r="H221" s="35">
        <v>0.85</v>
      </c>
      <c r="I221" s="35" t="s">
        <v>1416</v>
      </c>
      <c r="J221" s="36">
        <v>2100</v>
      </c>
      <c r="K221" s="36">
        <v>4600</v>
      </c>
    </row>
    <row r="222" spans="1:11" x14ac:dyDescent="0.2">
      <c r="A222" s="33" t="s">
        <v>3190</v>
      </c>
      <c r="B222" s="33" t="s">
        <v>1375</v>
      </c>
      <c r="C222" s="33" t="str">
        <f t="shared" si="3"/>
        <v xml:space="preserve">  Tripentyl phosphate</v>
      </c>
      <c r="D222" s="33" t="s">
        <v>3164</v>
      </c>
      <c r="E222" s="33" t="s">
        <v>251</v>
      </c>
      <c r="F222" s="34"/>
      <c r="G222" s="35">
        <v>1</v>
      </c>
      <c r="H222" s="35">
        <v>0.93333333333333335</v>
      </c>
      <c r="I222" s="35" t="s">
        <v>1417</v>
      </c>
      <c r="J222" s="36">
        <v>90</v>
      </c>
      <c r="K222" s="36">
        <v>364</v>
      </c>
    </row>
    <row r="223" spans="1:11" x14ac:dyDescent="0.2">
      <c r="A223" s="33" t="s">
        <v>1418</v>
      </c>
      <c r="B223" s="33" t="s">
        <v>1419</v>
      </c>
      <c r="C223" s="33" t="str">
        <f t="shared" si="3"/>
        <v xml:space="preserve">  4-hydroxybenzoic acid</v>
      </c>
      <c r="D223" s="33" t="s">
        <v>1418</v>
      </c>
      <c r="E223" s="33" t="s">
        <v>13</v>
      </c>
      <c r="F223" s="33"/>
      <c r="G223" s="35">
        <v>1</v>
      </c>
      <c r="H223" s="35">
        <v>0.76666666666666672</v>
      </c>
      <c r="I223" s="35" t="s">
        <v>1420</v>
      </c>
      <c r="J223" s="36">
        <v>1800</v>
      </c>
      <c r="K223" s="36">
        <v>85</v>
      </c>
    </row>
    <row r="224" spans="1:11" x14ac:dyDescent="0.2">
      <c r="A224" s="33" t="s">
        <v>1421</v>
      </c>
      <c r="B224" s="33" t="s">
        <v>1419</v>
      </c>
      <c r="C224" s="33" t="str">
        <f t="shared" si="3"/>
        <v xml:space="preserve">  Benzoic acid</v>
      </c>
      <c r="D224" s="33" t="s">
        <v>1421</v>
      </c>
      <c r="E224" s="33" t="s">
        <v>3</v>
      </c>
      <c r="F224" s="34"/>
      <c r="G224" s="35">
        <v>1</v>
      </c>
      <c r="H224" s="35">
        <v>1</v>
      </c>
      <c r="I224" s="35" t="s">
        <v>1422</v>
      </c>
      <c r="J224" s="36">
        <v>1400</v>
      </c>
      <c r="K224" s="36">
        <v>762</v>
      </c>
    </row>
    <row r="225" spans="1:11" x14ac:dyDescent="0.2">
      <c r="A225" s="33" t="s">
        <v>2281</v>
      </c>
      <c r="B225" s="33" t="s">
        <v>1419</v>
      </c>
      <c r="C225" s="33" t="str">
        <f t="shared" si="3"/>
        <v xml:space="preserve">  Benzyl alcohol</v>
      </c>
      <c r="D225" s="33" t="s">
        <v>2281</v>
      </c>
      <c r="E225" s="33" t="s">
        <v>5</v>
      </c>
      <c r="F225" s="33"/>
      <c r="G225" s="35">
        <v>1</v>
      </c>
      <c r="H225" s="35">
        <v>1</v>
      </c>
      <c r="I225" s="35" t="s">
        <v>1423</v>
      </c>
      <c r="J225" s="36">
        <v>162</v>
      </c>
      <c r="K225" s="36">
        <v>201</v>
      </c>
    </row>
    <row r="226" spans="1:11" x14ac:dyDescent="0.2">
      <c r="A226" s="33" t="s">
        <v>3152</v>
      </c>
      <c r="B226" s="33" t="s">
        <v>1419</v>
      </c>
      <c r="C226" s="33" t="str">
        <f t="shared" si="3"/>
        <v xml:space="preserve">  Butylparaben</v>
      </c>
      <c r="D226" s="33" t="s">
        <v>3152</v>
      </c>
      <c r="E226" s="33" t="s">
        <v>26</v>
      </c>
      <c r="F226" s="34"/>
      <c r="G226" s="35">
        <v>0.75</v>
      </c>
      <c r="H226" s="35">
        <v>0.8666666666666667</v>
      </c>
      <c r="I226" s="35" t="s">
        <v>1424</v>
      </c>
      <c r="J226" s="36">
        <v>22000</v>
      </c>
      <c r="K226" s="36">
        <v>2100</v>
      </c>
    </row>
    <row r="227" spans="1:11" x14ac:dyDescent="0.2">
      <c r="A227" s="33" t="s">
        <v>1425</v>
      </c>
      <c r="B227" s="33" t="s">
        <v>1419</v>
      </c>
      <c r="C227" s="33" t="str">
        <f t="shared" si="3"/>
        <v xml:space="preserve">  Ethylparaben</v>
      </c>
      <c r="D227" s="33" t="s">
        <v>1425</v>
      </c>
      <c r="E227" s="33" t="s">
        <v>20</v>
      </c>
      <c r="F227" s="34"/>
      <c r="G227" s="35">
        <v>0.75</v>
      </c>
      <c r="H227" s="35">
        <v>0.95</v>
      </c>
      <c r="I227" s="35" t="s">
        <v>1426</v>
      </c>
      <c r="J227" s="36">
        <v>414</v>
      </c>
      <c r="K227" s="36">
        <v>1200</v>
      </c>
    </row>
    <row r="228" spans="1:11" x14ac:dyDescent="0.2">
      <c r="A228" s="33" t="s">
        <v>1427</v>
      </c>
      <c r="B228" s="33" t="s">
        <v>1419</v>
      </c>
      <c r="C228" s="33" t="str">
        <f t="shared" si="3"/>
        <v xml:space="preserve">  Isobutylparaben</v>
      </c>
      <c r="D228" s="33" t="s">
        <v>1427</v>
      </c>
      <c r="E228" s="33" t="s">
        <v>24</v>
      </c>
      <c r="F228" s="34"/>
      <c r="G228" s="35">
        <v>0.875</v>
      </c>
      <c r="H228" s="35">
        <v>0.71666666666666667</v>
      </c>
      <c r="I228" s="35" t="s">
        <v>1428</v>
      </c>
      <c r="J228" s="36">
        <v>46000</v>
      </c>
      <c r="K228" s="36">
        <v>898</v>
      </c>
    </row>
    <row r="229" spans="1:11" x14ac:dyDescent="0.2">
      <c r="A229" s="33" t="s">
        <v>1429</v>
      </c>
      <c r="B229" s="33" t="s">
        <v>1419</v>
      </c>
      <c r="C229" s="33" t="str">
        <f t="shared" si="3"/>
        <v xml:space="preserve">  Isopropylparaben</v>
      </c>
      <c r="D229" s="33" t="s">
        <v>1429</v>
      </c>
      <c r="E229" s="33" t="s">
        <v>25</v>
      </c>
      <c r="F229" s="34"/>
      <c r="G229" s="35">
        <v>0.25</v>
      </c>
      <c r="H229" s="35">
        <v>0.65</v>
      </c>
      <c r="I229" s="35" t="s">
        <v>1430</v>
      </c>
      <c r="J229" s="36">
        <v>264</v>
      </c>
      <c r="K229" s="36">
        <v>1400</v>
      </c>
    </row>
    <row r="230" spans="1:11" x14ac:dyDescent="0.2">
      <c r="A230" s="33" t="s">
        <v>1431</v>
      </c>
      <c r="B230" s="33" t="s">
        <v>1419</v>
      </c>
      <c r="C230" s="33" t="str">
        <f t="shared" si="3"/>
        <v xml:space="preserve">  Methylparaben</v>
      </c>
      <c r="D230" s="33" t="s">
        <v>1431</v>
      </c>
      <c r="E230" s="33" t="s">
        <v>32</v>
      </c>
      <c r="F230" s="34"/>
      <c r="G230" s="35">
        <v>1</v>
      </c>
      <c r="H230" s="35">
        <v>0.95</v>
      </c>
      <c r="I230" s="35" t="s">
        <v>1432</v>
      </c>
      <c r="J230" s="36">
        <v>719</v>
      </c>
      <c r="K230" s="36">
        <v>2000</v>
      </c>
    </row>
    <row r="231" spans="1:11" x14ac:dyDescent="0.2">
      <c r="A231" s="33" t="s">
        <v>3199</v>
      </c>
      <c r="B231" s="33" t="s">
        <v>1419</v>
      </c>
      <c r="C231" s="33" t="str">
        <f t="shared" si="3"/>
        <v xml:space="preserve">  4-Chloro-3-methylphenol</v>
      </c>
      <c r="D231" s="33" t="s">
        <v>938</v>
      </c>
      <c r="E231" s="33" t="s">
        <v>16</v>
      </c>
      <c r="F231" s="34"/>
      <c r="G231" s="35">
        <v>1</v>
      </c>
      <c r="H231" s="35">
        <v>1</v>
      </c>
      <c r="I231" s="35" t="s">
        <v>1433</v>
      </c>
      <c r="J231" s="36">
        <v>775</v>
      </c>
      <c r="K231" s="36">
        <v>48</v>
      </c>
    </row>
    <row r="232" spans="1:11" x14ac:dyDescent="0.2">
      <c r="A232" s="33" t="s">
        <v>3205</v>
      </c>
      <c r="B232" s="33" t="s">
        <v>1434</v>
      </c>
      <c r="C232" s="33" t="str">
        <f t="shared" si="3"/>
        <v xml:space="preserve">  N-Nitrosodi-n-propylamine</v>
      </c>
      <c r="D232" s="33" t="s">
        <v>2239</v>
      </c>
      <c r="E232" s="33" t="s">
        <v>209</v>
      </c>
      <c r="F232" s="34" t="s">
        <v>69</v>
      </c>
      <c r="G232" s="35">
        <v>0.5</v>
      </c>
      <c r="H232" s="35">
        <v>0.51666666666666672</v>
      </c>
      <c r="I232" s="35" t="s">
        <v>1435</v>
      </c>
      <c r="J232" s="36">
        <v>6</v>
      </c>
      <c r="K232" s="36">
        <v>5000</v>
      </c>
    </row>
    <row r="233" spans="1:11" x14ac:dyDescent="0.2">
      <c r="A233" s="33" t="s">
        <v>2563</v>
      </c>
      <c r="B233" s="33" t="s">
        <v>1436</v>
      </c>
      <c r="C233" s="33" t="str">
        <f t="shared" si="3"/>
        <v xml:space="preserve">  2-Chlorotoluene</v>
      </c>
      <c r="D233" s="33" t="s">
        <v>2563</v>
      </c>
      <c r="E233" s="33" t="s">
        <v>198</v>
      </c>
      <c r="F233" s="34"/>
      <c r="G233" s="35">
        <v>0.125</v>
      </c>
      <c r="H233" s="35">
        <v>0.9</v>
      </c>
      <c r="I233" s="35" t="s">
        <v>1437</v>
      </c>
      <c r="J233" s="36">
        <v>227</v>
      </c>
      <c r="K233" s="36">
        <v>11000</v>
      </c>
    </row>
    <row r="234" spans="1:11" x14ac:dyDescent="0.2">
      <c r="A234" s="33" t="s">
        <v>1438</v>
      </c>
      <c r="B234" s="33" t="s">
        <v>1436</v>
      </c>
      <c r="C234" s="33" t="str">
        <f t="shared" si="3"/>
        <v xml:space="preserve">  2-Picoline</v>
      </c>
      <c r="D234" s="33" t="s">
        <v>1438</v>
      </c>
      <c r="E234" s="33" t="s">
        <v>162</v>
      </c>
      <c r="F234" s="33" t="s">
        <v>1044</v>
      </c>
      <c r="G234" s="35">
        <v>0.875</v>
      </c>
      <c r="H234" s="35">
        <v>0.31666666666666671</v>
      </c>
      <c r="I234" s="35" t="s">
        <v>1439</v>
      </c>
      <c r="J234" s="36">
        <v>1500</v>
      </c>
      <c r="K234" s="36">
        <v>8200</v>
      </c>
    </row>
    <row r="235" spans="1:11" x14ac:dyDescent="0.2">
      <c r="A235" s="33" t="s">
        <v>2565</v>
      </c>
      <c r="B235" s="33" t="s">
        <v>1436</v>
      </c>
      <c r="C235" s="33" t="str">
        <f t="shared" si="3"/>
        <v xml:space="preserve">  4-Chlorotoluene</v>
      </c>
      <c r="D235" s="33" t="s">
        <v>2565</v>
      </c>
      <c r="E235" s="33" t="s">
        <v>197</v>
      </c>
      <c r="F235" s="34"/>
      <c r="G235" s="35">
        <v>0.625</v>
      </c>
      <c r="H235" s="35">
        <v>0.85</v>
      </c>
      <c r="I235" s="35" t="s">
        <v>1440</v>
      </c>
      <c r="J235" s="36">
        <v>1100</v>
      </c>
      <c r="K235" s="36">
        <v>19000</v>
      </c>
    </row>
    <row r="236" spans="1:11" x14ac:dyDescent="0.2">
      <c r="A236" s="33" t="s">
        <v>2230</v>
      </c>
      <c r="B236" s="33" t="s">
        <v>1436</v>
      </c>
      <c r="C236" s="33" t="str">
        <f t="shared" si="3"/>
        <v xml:space="preserve">  Bis(2-chloro-1-methylethyl)ether</v>
      </c>
      <c r="D236" s="33" t="s">
        <v>3173</v>
      </c>
      <c r="E236" s="33" t="s">
        <v>166</v>
      </c>
      <c r="F236" s="33" t="s">
        <v>1044</v>
      </c>
      <c r="G236" s="35">
        <v>1</v>
      </c>
      <c r="H236" s="35">
        <v>1</v>
      </c>
      <c r="I236" s="35" t="s">
        <v>1441</v>
      </c>
      <c r="J236" s="36">
        <v>3700</v>
      </c>
      <c r="K236" s="36">
        <v>608</v>
      </c>
    </row>
    <row r="237" spans="1:11" x14ac:dyDescent="0.2">
      <c r="A237" s="33" t="s">
        <v>2608</v>
      </c>
      <c r="B237" s="33" t="s">
        <v>1436</v>
      </c>
      <c r="C237" s="33" t="str">
        <f t="shared" si="3"/>
        <v xml:space="preserve">  Ethylbenzene</v>
      </c>
      <c r="D237" s="33" t="s">
        <v>2608</v>
      </c>
      <c r="E237" s="33" t="s">
        <v>178</v>
      </c>
      <c r="F237" s="33" t="s">
        <v>69</v>
      </c>
      <c r="G237" s="35">
        <v>1</v>
      </c>
      <c r="H237" s="35">
        <v>1</v>
      </c>
      <c r="I237" s="35" t="s">
        <v>1442</v>
      </c>
      <c r="J237" s="36">
        <v>2700</v>
      </c>
      <c r="K237" s="36">
        <v>152</v>
      </c>
    </row>
    <row r="238" spans="1:11" x14ac:dyDescent="0.2">
      <c r="A238" s="33" t="s">
        <v>2268</v>
      </c>
      <c r="B238" s="33" t="s">
        <v>1436</v>
      </c>
      <c r="C238" s="33" t="str">
        <f t="shared" si="3"/>
        <v xml:space="preserve">  Isophorone</v>
      </c>
      <c r="D238" s="33" t="s">
        <v>2268</v>
      </c>
      <c r="E238" s="33" t="s">
        <v>173</v>
      </c>
      <c r="F238" s="34" t="s">
        <v>69</v>
      </c>
      <c r="G238" s="35">
        <v>0.25</v>
      </c>
      <c r="H238" s="35">
        <v>0.71666666666666667</v>
      </c>
      <c r="I238" s="35" t="s">
        <v>1443</v>
      </c>
      <c r="J238" s="36">
        <v>64</v>
      </c>
      <c r="K238" s="36">
        <v>469</v>
      </c>
    </row>
    <row r="239" spans="1:11" x14ac:dyDescent="0.2">
      <c r="A239" s="33" t="s">
        <v>2997</v>
      </c>
      <c r="B239" s="33" t="s">
        <v>1436</v>
      </c>
      <c r="C239" s="33" t="str">
        <f t="shared" si="3"/>
        <v xml:space="preserve">  n-Tetradecane</v>
      </c>
      <c r="D239" s="33" t="s">
        <v>2997</v>
      </c>
      <c r="E239" s="33" t="s">
        <v>193</v>
      </c>
      <c r="F239" s="34"/>
      <c r="G239" s="35">
        <v>1</v>
      </c>
      <c r="H239" s="35">
        <v>0.95</v>
      </c>
      <c r="I239" s="35" t="s">
        <v>1444</v>
      </c>
      <c r="J239" s="36">
        <v>736</v>
      </c>
      <c r="K239" s="36">
        <v>213</v>
      </c>
    </row>
    <row r="240" spans="1:11" x14ac:dyDescent="0.2">
      <c r="A240" s="33" t="s">
        <v>1445</v>
      </c>
      <c r="B240" s="33" t="s">
        <v>1436</v>
      </c>
      <c r="C240" s="33" t="str">
        <f t="shared" si="3"/>
        <v xml:space="preserve">  N-Nitrosomorpholine </v>
      </c>
      <c r="D240" s="33" t="s">
        <v>1446</v>
      </c>
      <c r="E240" s="33" t="s">
        <v>171</v>
      </c>
      <c r="F240" s="34" t="s">
        <v>69</v>
      </c>
      <c r="G240" s="35">
        <v>0.25</v>
      </c>
      <c r="H240" s="35">
        <v>0.93333333333333335</v>
      </c>
      <c r="I240" s="35" t="s">
        <v>1447</v>
      </c>
      <c r="J240" s="36">
        <v>52</v>
      </c>
      <c r="K240" s="36">
        <v>4900</v>
      </c>
    </row>
    <row r="241" spans="1:11" x14ac:dyDescent="0.2">
      <c r="A241" s="33" t="s">
        <v>1448</v>
      </c>
      <c r="B241" s="33" t="s">
        <v>1436</v>
      </c>
      <c r="C241" s="33" t="str">
        <f t="shared" si="3"/>
        <v xml:space="preserve">  Toluene</v>
      </c>
      <c r="D241" s="33" t="s">
        <v>1448</v>
      </c>
      <c r="E241" s="33" t="s">
        <v>168</v>
      </c>
      <c r="F241" s="33" t="s">
        <v>1044</v>
      </c>
      <c r="G241" s="35">
        <v>0.375</v>
      </c>
      <c r="H241" s="35">
        <v>0.6166666666666667</v>
      </c>
      <c r="I241" s="35" t="s">
        <v>1449</v>
      </c>
      <c r="J241" s="36">
        <v>5</v>
      </c>
      <c r="K241" s="36">
        <v>26</v>
      </c>
    </row>
    <row r="242" spans="1:11" x14ac:dyDescent="0.2">
      <c r="A242" s="33" t="s">
        <v>1450</v>
      </c>
      <c r="B242" s="33" t="s">
        <v>1451</v>
      </c>
      <c r="C242" s="33" t="str">
        <f t="shared" si="3"/>
        <v xml:space="preserve">  4-Tert-octylphenol</v>
      </c>
      <c r="D242" s="33" t="s">
        <v>1452</v>
      </c>
      <c r="E242" s="33" t="s">
        <v>155</v>
      </c>
      <c r="F242" s="34"/>
      <c r="G242" s="35">
        <v>1</v>
      </c>
      <c r="H242" s="35">
        <v>1</v>
      </c>
      <c r="I242" s="35" t="s">
        <v>1453</v>
      </c>
      <c r="J242" s="36">
        <v>207</v>
      </c>
      <c r="K242" s="36">
        <v>230000</v>
      </c>
    </row>
    <row r="243" spans="1:11" x14ac:dyDescent="0.2">
      <c r="A243" s="33" t="s">
        <v>1454</v>
      </c>
      <c r="B243" s="33" t="s">
        <v>1451</v>
      </c>
      <c r="C243" s="33" t="str">
        <f t="shared" si="3"/>
        <v xml:space="preserve">  Nonylphenol</v>
      </c>
      <c r="D243" s="33" t="s">
        <v>1454</v>
      </c>
      <c r="E243" s="33" t="s">
        <v>153</v>
      </c>
      <c r="F243" s="34"/>
      <c r="G243" s="35">
        <v>0.375</v>
      </c>
      <c r="H243" s="35">
        <v>0.91666666666666663</v>
      </c>
      <c r="I243" s="35" t="s">
        <v>1455</v>
      </c>
      <c r="J243" s="36">
        <v>522</v>
      </c>
      <c r="K243" s="36">
        <v>3700</v>
      </c>
    </row>
    <row r="244" spans="1:11" x14ac:dyDescent="0.2">
      <c r="A244" s="33" t="s">
        <v>1456</v>
      </c>
      <c r="B244" s="33" t="s">
        <v>1451</v>
      </c>
      <c r="C244" s="33" t="str">
        <f t="shared" si="3"/>
        <v xml:space="preserve">  Nonylphenol diethoxylate</v>
      </c>
      <c r="D244" s="33" t="s">
        <v>1456</v>
      </c>
      <c r="E244" s="33" t="s">
        <v>157</v>
      </c>
      <c r="F244" s="34"/>
      <c r="G244" s="35">
        <v>1</v>
      </c>
      <c r="H244" s="35">
        <v>0.83333333333333337</v>
      </c>
      <c r="I244" s="35" t="s">
        <v>1457</v>
      </c>
      <c r="J244" s="36">
        <v>774</v>
      </c>
      <c r="K244" s="36">
        <v>506</v>
      </c>
    </row>
    <row r="245" spans="1:11" x14ac:dyDescent="0.2">
      <c r="A245" s="33" t="s">
        <v>2349</v>
      </c>
      <c r="B245" s="33" t="s">
        <v>1451</v>
      </c>
      <c r="C245" s="33" t="str">
        <f t="shared" si="3"/>
        <v xml:space="preserve">  Nonylphenol monoethoxylate</v>
      </c>
      <c r="D245" s="33" t="s">
        <v>2349</v>
      </c>
      <c r="E245" s="33" t="s">
        <v>159</v>
      </c>
      <c r="F245" s="34"/>
      <c r="G245" s="35">
        <v>1</v>
      </c>
      <c r="H245" s="35">
        <v>0.6166666666666667</v>
      </c>
      <c r="I245" s="35" t="s">
        <v>1458</v>
      </c>
      <c r="J245" s="36">
        <v>463</v>
      </c>
      <c r="K245" s="36">
        <v>176</v>
      </c>
    </row>
    <row r="246" spans="1:11" x14ac:dyDescent="0.2">
      <c r="A246" s="33" t="s">
        <v>1459</v>
      </c>
      <c r="B246" s="33" t="s">
        <v>1460</v>
      </c>
      <c r="C246" s="33" t="str">
        <f t="shared" si="3"/>
        <v xml:space="preserve">  Pentachlorobenzene</v>
      </c>
      <c r="D246" s="33" t="s">
        <v>1459</v>
      </c>
      <c r="E246" s="33" t="s">
        <v>148</v>
      </c>
      <c r="F246" s="34"/>
      <c r="G246" s="35">
        <v>1</v>
      </c>
      <c r="H246" s="35">
        <v>0.43333333333333329</v>
      </c>
      <c r="I246" s="35" t="s">
        <v>1461</v>
      </c>
      <c r="J246" s="36">
        <v>16</v>
      </c>
      <c r="K246" s="36">
        <v>41</v>
      </c>
    </row>
    <row r="247" spans="1:11" x14ac:dyDescent="0.2">
      <c r="A247" s="50"/>
      <c r="B247" s="50"/>
      <c r="C247" s="52" t="str">
        <f t="shared" si="3"/>
        <v xml:space="preserve">  </v>
      </c>
      <c r="D247" s="50"/>
      <c r="E247" s="50"/>
      <c r="F247" s="50"/>
      <c r="G247" s="50"/>
      <c r="H247" s="50"/>
      <c r="I247" s="50"/>
      <c r="J247" s="50"/>
      <c r="K247" s="51"/>
    </row>
    <row r="248" spans="1:11" x14ac:dyDescent="0.2">
      <c r="A248" s="50"/>
      <c r="B248" s="50"/>
      <c r="C248" s="52" t="str">
        <f t="shared" si="3"/>
        <v xml:space="preserve">  </v>
      </c>
      <c r="D248" s="50"/>
      <c r="E248" s="50"/>
      <c r="F248" s="50"/>
      <c r="G248" s="50"/>
      <c r="H248" s="50"/>
      <c r="I248" s="50"/>
      <c r="J248" s="50"/>
      <c r="K248" s="51"/>
    </row>
    <row r="249" spans="1:11" x14ac:dyDescent="0.2">
      <c r="A249" s="50"/>
      <c r="B249" s="50"/>
      <c r="C249" s="52" t="str">
        <f t="shared" si="3"/>
        <v xml:space="preserve">  </v>
      </c>
      <c r="D249" s="50"/>
      <c r="E249" s="50"/>
      <c r="F249" s="50"/>
      <c r="G249" s="50"/>
      <c r="H249" s="50"/>
      <c r="I249" s="50"/>
      <c r="J249" s="50"/>
      <c r="K249" s="51"/>
    </row>
  </sheetData>
  <conditionalFormatting sqref="A1:D1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ADAD-C452-4949-A17B-E3ACEA61A94B}">
  <dimension ref="A1:N883"/>
  <sheetViews>
    <sheetView tabSelected="1" workbookViewId="0">
      <selection activeCell="L15" sqref="L15"/>
    </sheetView>
  </sheetViews>
  <sheetFormatPr baseColWidth="10" defaultRowHeight="16" x14ac:dyDescent="0.2"/>
  <cols>
    <col min="1" max="1" width="16.5" style="2" bestFit="1" customWidth="1"/>
    <col min="2" max="2" width="40.83203125" style="2" bestFit="1" customWidth="1"/>
    <col min="3" max="3" width="74.5" style="2" bestFit="1" customWidth="1"/>
    <col min="7" max="7" width="17.6640625" bestFit="1" customWidth="1"/>
    <col min="12" max="12" width="74.5" style="2" bestFit="1" customWidth="1"/>
  </cols>
  <sheetData>
    <row r="1" spans="1:14" x14ac:dyDescent="0.2">
      <c r="A1" s="62" t="s">
        <v>1008</v>
      </c>
      <c r="B1" s="62" t="s">
        <v>1007</v>
      </c>
      <c r="C1" s="63" t="s">
        <v>1006</v>
      </c>
      <c r="D1" s="54"/>
      <c r="G1" s="55" t="s">
        <v>903</v>
      </c>
      <c r="L1" s="63"/>
    </row>
    <row r="2" spans="1:14" ht="16" customHeight="1" x14ac:dyDescent="0.2">
      <c r="A2" s="22" t="s">
        <v>1003</v>
      </c>
      <c r="B2" s="21" t="s">
        <v>1002</v>
      </c>
      <c r="C2" s="64" t="str">
        <f>_xlfn.CONCAT(A2," = ",B2)</f>
        <v>9Cl-PF3ONS = 9-Chlorohexadecafluoro-3-oxanone-1-sulfonic acid</v>
      </c>
      <c r="D2" s="54"/>
      <c r="G2" s="81" t="str">
        <f>_xlfn.TEXTJOIN(CHAR(13), TRUE, C2:C66)</f>
        <v>9Cl-PF3ONS = 9-Chlorohexadecafluoro-3-oxanone-1-sulfonic acid_x000D_BDCPP = bis(1,3-Dichloro-2-propyl) phosphate_x000D_BDE = brominated diphenyl ether_x000D_BDPP = Bis(2,3-dibromopropyl) hydrogen phosphate_x000D_Bromo-TMP-Phenol = 2-Bromo-4-(2,4,4-trimethylpentan-2-yl)phenol_x000D_CAS = Chemical Abstracts Service (Number)_x000D_CDC = Centers for Disease Control and Prevention_x000D_CID = Compound ID (PubChem)_x000D_Compds. = compounds_x000D_DBahA = Dibenz(a,h)anthracene_x000D_DCP = Dichlorophenyl_x000D_DCPMNB  = 4-(2,4-dichlorophenoxy)-2-methyl-1-nitrobenzene_x000D_DDD = Dichlorodiphenyldichloroethane_x000D_DDE = Dichlorodiphenyldichloroethylene_x000D_DDT = Dichlorodiphenyltrichloroethane_x000D_DFTPP = Decafluorotriphenylphosphine_x000D_DTPAs = Dithiophosphoric Acids_x000D_EPN = Ethyl p-nitrophenyl phenylphosphorothioate_x000D_EtFOSAA = N-Ethylperfluoro-1-octanesulfonamidoacetic acid (linear)_x000D_Furaneol = 4-Hydroxy-2,5-dimethyl-3(2H)-furanone_x000D_HpCDD = Heptachlorodibenzo-p-dioxin_x000D_HpCDF = Heptachlorodibenzofuran _x000D_HxCDD = Hexachlorodibenzo-P-dioxin_x000D_HxCDF = Hexachlorodibenzofuran _x000D_IARC = International Agency for Research on Cancer_x000D_IMHP = 2-Isopropyl-6-methyl-4-pyrimidinol_x000D_Lin. = linear_x000D_LLMs = lipid-like molecules_x000D_LOD = limit of detection_x000D_MBOT = 4,4'-Methylenebis(o-toluidine)_x000D_MCPA = 2-Methyl-4-chlorophenoxyacetic acid_x000D_MEcPP = Mono(5-carboxy-2-ethylpentyl) phthalate_x000D_MEHHP = Mono(2-ethyl-5-hydroxyhexyl) phthalate_x000D_MEOHP = Mono(2-ethyl-5-oxohexyl) phthalate_x000D_MGK-264 = McLaughlin Gormley King-264 (also known as N-2-Ethylhexylbicycloheptenedicarboximide)_x000D_min = minutes_x000D_MOCA = 4,4'-Methylenebis(2-chloroaniline)_x000D_mz = mass-to-charge ratio_x000D_N-MeFOSAA = N-Methylperfluoro-1-octanesulfonamidoacetic acid (linear)_x000D_NHANES = National Health and Nutrition Examination Survey_x000D_NPE = nitrophenyl ether_x000D_o-Dianisidine = 3,3'-Dimethoxybenzidine_x000D_OD-PABA = Octyl-dimethyl-p-aminobenzoic acid_x000D_Org = organic_x000D_Org. Heterocycl. = organoheterocyclic_x000D_p-Chlorocresol = 4-Chloro-3-methylphenol_x000D_PAH = polycyclic aromatic hydrocarbon_x000D_PBB = polybrominated biphenyl_x000D_PCB = polychlorinated biphenyl_x000D_PCDF = Pentachlorodibenzofuran_x000D_PeCDD = pentachlorodibenzo-p-dioxin_x000D_PKs = polyketides_x000D_PPB = parts per billion_x000D_RT = retention time_x000D_SDs = Substituted Derivatives_x000D_TBBPA-BAE = Tetrabromobisphenol A bis(allyl ether)_x000D_TCDD = tetrachlorodibenzo-p-dioxin_x000D_TCDF = tetrachlorodibenzofuran_x000D_TCP = Trichlorophenyl_x000D_TCP-4’-NPE = TCP-4’-NPE_x000D_TCPP = Tris(1-chloro-2-propyl) phosphate_x000D_TDCPP = Tris(1,3-dichloro-2-propyl)phosphate_x000D_TEEP = Tetraethyl ethylenediphosphonate_x000D_TPAs = Thiophosphoric acids_x000D_TTBNPP = Tris(tribromoneopentyl) phosphate</v>
      </c>
      <c r="H2" s="81"/>
      <c r="I2" s="81"/>
      <c r="J2" s="81"/>
      <c r="L2" s="64" t="s">
        <v>3678</v>
      </c>
      <c r="M2" s="64" t="s">
        <v>3710</v>
      </c>
      <c r="N2" s="61"/>
    </row>
    <row r="3" spans="1:14" x14ac:dyDescent="0.2">
      <c r="A3" s="64" t="s">
        <v>3379</v>
      </c>
      <c r="B3" s="21" t="s">
        <v>3380</v>
      </c>
      <c r="C3" s="64" t="str">
        <f>_xlfn.CONCAT(A3," = ",B3)</f>
        <v>BDCPP = bis(1,3-Dichloro-2-propyl) phosphate</v>
      </c>
      <c r="D3" s="54"/>
      <c r="G3" s="81"/>
      <c r="H3" s="81"/>
      <c r="I3" s="81"/>
      <c r="J3" s="81"/>
      <c r="L3" s="64" t="s">
        <v>3679</v>
      </c>
      <c r="M3" s="64" t="s">
        <v>3711</v>
      </c>
    </row>
    <row r="4" spans="1:14" x14ac:dyDescent="0.2">
      <c r="A4" s="21" t="s">
        <v>3565</v>
      </c>
      <c r="B4" s="64" t="s">
        <v>3652</v>
      </c>
      <c r="C4" s="64" t="str">
        <f>_xlfn.CONCAT(A4," = ",B4)</f>
        <v>BDE = brominated diphenyl ether</v>
      </c>
      <c r="D4" s="54"/>
      <c r="G4" s="81"/>
      <c r="H4" s="81"/>
      <c r="I4" s="81"/>
      <c r="J4" s="81"/>
      <c r="L4" s="64" t="s">
        <v>3680</v>
      </c>
      <c r="M4" s="64" t="s">
        <v>3712</v>
      </c>
    </row>
    <row r="5" spans="1:14" x14ac:dyDescent="0.2">
      <c r="A5" s="64" t="s">
        <v>3382</v>
      </c>
      <c r="B5" s="64" t="s">
        <v>3240</v>
      </c>
      <c r="C5" s="64" t="str">
        <f>_xlfn.CONCAT(A5," = ",B5)</f>
        <v>BDPP = Bis(2,3-dibromopropyl) hydrogen phosphate</v>
      </c>
      <c r="D5" s="54"/>
      <c r="G5" s="81"/>
      <c r="H5" s="81"/>
      <c r="I5" s="81"/>
      <c r="J5" s="81"/>
      <c r="L5" s="64" t="s">
        <v>3681</v>
      </c>
      <c r="M5" s="64" t="s">
        <v>3713</v>
      </c>
    </row>
    <row r="6" spans="1:14" x14ac:dyDescent="0.2">
      <c r="A6" s="20" t="s">
        <v>3250</v>
      </c>
      <c r="B6" s="20" t="s">
        <v>1000</v>
      </c>
      <c r="C6" s="64" t="str">
        <f>_xlfn.CONCAT(A6," = ",B6)</f>
        <v>Bromo-TMP-Phenol = 2-Bromo-4-(2,4,4-trimethylpentan-2-yl)phenol</v>
      </c>
      <c r="D6" s="54"/>
      <c r="G6" s="81"/>
      <c r="H6" s="81"/>
      <c r="I6" s="81"/>
      <c r="J6" s="81"/>
      <c r="L6" s="64" t="s">
        <v>3682</v>
      </c>
      <c r="M6" s="64" t="s">
        <v>3714</v>
      </c>
    </row>
    <row r="7" spans="1:14" x14ac:dyDescent="0.2">
      <c r="A7" s="21" t="s">
        <v>998</v>
      </c>
      <c r="B7" s="21" t="s">
        <v>997</v>
      </c>
      <c r="C7" s="64" t="str">
        <f>_xlfn.CONCAT(A7," = ",B7)</f>
        <v>CAS = Chemical Abstracts Service (Number)</v>
      </c>
      <c r="D7" s="54"/>
      <c r="G7" s="81"/>
      <c r="H7" s="81"/>
      <c r="I7" s="81"/>
      <c r="J7" s="81"/>
      <c r="L7" s="64" t="s">
        <v>3683</v>
      </c>
      <c r="M7" s="64" t="s">
        <v>3715</v>
      </c>
    </row>
    <row r="8" spans="1:14" x14ac:dyDescent="0.2">
      <c r="A8" s="2" t="s">
        <v>3645</v>
      </c>
      <c r="B8" s="2" t="s">
        <v>3646</v>
      </c>
      <c r="C8" s="64" t="str">
        <f>_xlfn.CONCAT(A8," = ",B8)</f>
        <v>CDC = Centers for Disease Control and Prevention</v>
      </c>
      <c r="D8" s="54"/>
      <c r="G8" s="81"/>
      <c r="H8" s="81"/>
      <c r="I8" s="81"/>
      <c r="J8" s="81"/>
      <c r="L8" s="64" t="s">
        <v>3684</v>
      </c>
      <c r="M8" s="64" t="s">
        <v>3716</v>
      </c>
    </row>
    <row r="9" spans="1:14" x14ac:dyDescent="0.2">
      <c r="A9" s="21" t="s">
        <v>995</v>
      </c>
      <c r="B9" s="21" t="s">
        <v>994</v>
      </c>
      <c r="C9" s="64" t="str">
        <f>_xlfn.CONCAT(A9," = ",B9)</f>
        <v>CID = Compound ID (PubChem)</v>
      </c>
      <c r="D9" s="54"/>
      <c r="G9" s="81"/>
      <c r="H9" s="81"/>
      <c r="I9" s="81"/>
      <c r="J9" s="81"/>
      <c r="L9" s="64" t="s">
        <v>3685</v>
      </c>
      <c r="M9" s="64" t="s">
        <v>3717</v>
      </c>
    </row>
    <row r="10" spans="1:14" x14ac:dyDescent="0.2">
      <c r="A10" s="21" t="s">
        <v>992</v>
      </c>
      <c r="B10" s="21" t="s">
        <v>3653</v>
      </c>
      <c r="C10" s="64" t="str">
        <f>_xlfn.CONCAT(A10," = ",B10)</f>
        <v>Compds. = compounds</v>
      </c>
      <c r="D10" s="54"/>
      <c r="G10" s="81"/>
      <c r="H10" s="81"/>
      <c r="I10" s="81"/>
      <c r="J10" s="81"/>
      <c r="L10" s="64" t="s">
        <v>3686</v>
      </c>
      <c r="M10" s="64" t="s">
        <v>3718</v>
      </c>
    </row>
    <row r="11" spans="1:14" x14ac:dyDescent="0.2">
      <c r="A11" t="s">
        <v>3209</v>
      </c>
      <c r="B11" s="2" t="s">
        <v>3644</v>
      </c>
      <c r="C11" s="64" t="str">
        <f>_xlfn.CONCAT(A11," = ",B11)</f>
        <v>DBahA = Dibenz(a,h)anthracene</v>
      </c>
      <c r="D11" s="54"/>
      <c r="G11" s="81"/>
      <c r="H11" s="81"/>
      <c r="I11" s="81"/>
      <c r="J11" s="81"/>
      <c r="L11" s="64" t="s">
        <v>3643</v>
      </c>
      <c r="M11" s="64" t="s">
        <v>3719</v>
      </c>
    </row>
    <row r="12" spans="1:14" x14ac:dyDescent="0.2">
      <c r="A12" s="20" t="s">
        <v>3582</v>
      </c>
      <c r="B12" s="21" t="s">
        <v>3581</v>
      </c>
      <c r="C12" s="64" t="str">
        <f>_xlfn.CONCAT(A12," = ",B12)</f>
        <v>DCP = Dichlorophenyl</v>
      </c>
      <c r="D12" s="54"/>
      <c r="G12" s="81"/>
      <c r="H12" s="81"/>
      <c r="I12" s="81"/>
      <c r="J12" s="81"/>
      <c r="L12" s="64" t="s">
        <v>3687</v>
      </c>
      <c r="M12" s="64" t="s">
        <v>3720</v>
      </c>
    </row>
    <row r="13" spans="1:14" x14ac:dyDescent="0.2">
      <c r="A13" s="64" t="s">
        <v>3381</v>
      </c>
      <c r="B13" s="64" t="s">
        <v>2711</v>
      </c>
      <c r="C13" s="64" t="str">
        <f>_xlfn.CONCAT(A13," = ",B13)</f>
        <v>DCPMNB  = 4-(2,4-dichlorophenoxy)-2-methyl-1-nitrobenzene</v>
      </c>
      <c r="G13" s="81"/>
      <c r="H13" s="81"/>
      <c r="I13" s="81"/>
      <c r="J13" s="81"/>
      <c r="L13" s="64" t="s">
        <v>3688</v>
      </c>
      <c r="M13" s="64" t="s">
        <v>3721</v>
      </c>
    </row>
    <row r="14" spans="1:14" x14ac:dyDescent="0.2">
      <c r="A14" s="64" t="s">
        <v>3551</v>
      </c>
      <c r="B14" s="64" t="s">
        <v>3555</v>
      </c>
      <c r="C14" s="64" t="str">
        <f>_xlfn.CONCAT(A14," = ",B14)</f>
        <v>DDD = Dichlorodiphenyldichloroethane</v>
      </c>
      <c r="G14" s="81"/>
      <c r="H14" s="81"/>
      <c r="I14" s="81"/>
      <c r="J14" s="81"/>
      <c r="L14" s="64" t="s">
        <v>3689</v>
      </c>
      <c r="M14" s="64" t="s">
        <v>3722</v>
      </c>
    </row>
    <row r="15" spans="1:14" x14ac:dyDescent="0.2">
      <c r="A15" s="64" t="s">
        <v>3550</v>
      </c>
      <c r="B15" s="64" t="s">
        <v>3554</v>
      </c>
      <c r="C15" s="64" t="str">
        <f>_xlfn.CONCAT(A15," = ",B15)</f>
        <v>DDE = Dichlorodiphenyldichloroethylene</v>
      </c>
      <c r="G15" s="81"/>
      <c r="H15" s="81"/>
      <c r="I15" s="81"/>
      <c r="J15" s="81"/>
      <c r="L15" s="64" t="s">
        <v>3690</v>
      </c>
      <c r="M15" s="64" t="s">
        <v>3723</v>
      </c>
    </row>
    <row r="16" spans="1:14" x14ac:dyDescent="0.2">
      <c r="A16" s="64" t="s">
        <v>3549</v>
      </c>
      <c r="B16" s="64" t="s">
        <v>3553</v>
      </c>
      <c r="C16" s="64" t="str">
        <f>_xlfn.CONCAT(A16," = ",B16)</f>
        <v>DDT = Dichlorodiphenyltrichloroethane</v>
      </c>
      <c r="G16" s="81"/>
      <c r="H16" s="81"/>
      <c r="I16" s="81"/>
      <c r="J16" s="81"/>
      <c r="L16" s="64" t="s">
        <v>3691</v>
      </c>
      <c r="M16" s="64" t="s">
        <v>3724</v>
      </c>
    </row>
    <row r="17" spans="1:13" x14ac:dyDescent="0.2">
      <c r="A17" s="21" t="s">
        <v>2990</v>
      </c>
      <c r="B17" s="64" t="s">
        <v>3665</v>
      </c>
      <c r="C17" s="64" t="str">
        <f>_xlfn.CONCAT(A17," = ",B17)</f>
        <v>DFTPP = Decafluorotriphenylphosphine</v>
      </c>
      <c r="G17" s="81"/>
      <c r="H17" s="81"/>
      <c r="I17" s="81"/>
      <c r="J17" s="81"/>
      <c r="L17" s="64" t="s">
        <v>3692</v>
      </c>
      <c r="M17" s="64" t="s">
        <v>3725</v>
      </c>
    </row>
    <row r="18" spans="1:13" x14ac:dyDescent="0.2">
      <c r="A18" s="21" t="s">
        <v>990</v>
      </c>
      <c r="B18" s="21" t="s">
        <v>989</v>
      </c>
      <c r="C18" s="64" t="str">
        <f>_xlfn.CONCAT(A18," = ",B18)</f>
        <v>DTPAs = Dithiophosphoric Acids</v>
      </c>
      <c r="G18" s="81"/>
      <c r="H18" s="81"/>
      <c r="I18" s="81"/>
      <c r="J18" s="81"/>
      <c r="L18" s="64" t="s">
        <v>3693</v>
      </c>
      <c r="M18" s="64" t="s">
        <v>3726</v>
      </c>
    </row>
    <row r="19" spans="1:13" x14ac:dyDescent="0.2">
      <c r="A19" s="21" t="s">
        <v>1858</v>
      </c>
      <c r="B19" s="64" t="s">
        <v>3666</v>
      </c>
      <c r="C19" s="64" t="str">
        <f>_xlfn.CONCAT(A19," = ",B19)</f>
        <v>EPN = Ethyl p-nitrophenyl phenylphosphorothioate</v>
      </c>
      <c r="G19" s="81"/>
      <c r="H19" s="81"/>
      <c r="I19" s="81"/>
      <c r="J19" s="81"/>
      <c r="L19" s="64" t="s">
        <v>3694</v>
      </c>
      <c r="M19" s="64" t="s">
        <v>3727</v>
      </c>
    </row>
    <row r="20" spans="1:13" x14ac:dyDescent="0.2">
      <c r="A20" s="21" t="s">
        <v>986</v>
      </c>
      <c r="B20" s="21" t="s">
        <v>985</v>
      </c>
      <c r="C20" s="64" t="str">
        <f>_xlfn.CONCAT(A20," = ",B20)</f>
        <v>EtFOSAA = N-Ethylperfluoro-1-octanesulfonamidoacetic acid (linear)</v>
      </c>
      <c r="G20" s="81"/>
      <c r="H20" s="81"/>
      <c r="I20" s="81"/>
      <c r="J20" s="81"/>
      <c r="L20" s="64" t="s">
        <v>3695</v>
      </c>
      <c r="M20" s="64" t="s">
        <v>3728</v>
      </c>
    </row>
    <row r="21" spans="1:13" x14ac:dyDescent="0.2">
      <c r="A21" s="20" t="s">
        <v>983</v>
      </c>
      <c r="B21" s="20" t="s">
        <v>982</v>
      </c>
      <c r="C21" s="64" t="str">
        <f>_xlfn.CONCAT(A21," = ",B21)</f>
        <v>Furaneol = 4-Hydroxy-2,5-dimethyl-3(2H)-furanone</v>
      </c>
      <c r="G21" s="81"/>
      <c r="H21" s="81"/>
      <c r="I21" s="81"/>
      <c r="J21" s="81"/>
      <c r="L21" s="64" t="s">
        <v>3696</v>
      </c>
      <c r="M21" s="64" t="s">
        <v>3729</v>
      </c>
    </row>
    <row r="22" spans="1:13" x14ac:dyDescent="0.2">
      <c r="A22" s="21" t="s">
        <v>3572</v>
      </c>
      <c r="B22" s="64" t="s">
        <v>3595</v>
      </c>
      <c r="C22" s="64" t="str">
        <f>_xlfn.CONCAT(A22," = ",B22)</f>
        <v>HpCDD = Heptachlorodibenzo-p-dioxin</v>
      </c>
      <c r="G22" s="81"/>
      <c r="H22" s="81"/>
      <c r="I22" s="81"/>
      <c r="J22" s="81"/>
      <c r="L22" s="64" t="s">
        <v>3697</v>
      </c>
      <c r="M22" s="64" t="s">
        <v>3730</v>
      </c>
    </row>
    <row r="23" spans="1:13" x14ac:dyDescent="0.2">
      <c r="A23" s="21" t="s">
        <v>3571</v>
      </c>
      <c r="B23" s="64" t="s">
        <v>3670</v>
      </c>
      <c r="C23" s="64" t="str">
        <f>_xlfn.CONCAT(A23," = ",B23)</f>
        <v xml:space="preserve">HpCDF = Heptachlorodibenzofuran </v>
      </c>
      <c r="D23" s="54"/>
      <c r="G23" s="81"/>
      <c r="H23" s="81"/>
      <c r="I23" s="81"/>
      <c r="J23" s="81"/>
      <c r="L23" s="64" t="s">
        <v>3698</v>
      </c>
      <c r="M23" s="64" t="s">
        <v>3731</v>
      </c>
    </row>
    <row r="24" spans="1:13" x14ac:dyDescent="0.2">
      <c r="A24" s="21" t="s">
        <v>3569</v>
      </c>
      <c r="B24" s="64" t="s">
        <v>3667</v>
      </c>
      <c r="C24" s="64" t="str">
        <f>_xlfn.CONCAT(A24," = ",B24)</f>
        <v>HxCDD = Hexachlorodibenzo-P-dioxin</v>
      </c>
      <c r="D24" s="54"/>
      <c r="G24" s="81"/>
      <c r="H24" s="81"/>
      <c r="I24" s="81"/>
      <c r="J24" s="81"/>
      <c r="L24" s="64" t="s">
        <v>3699</v>
      </c>
      <c r="M24" s="64" t="s">
        <v>3732</v>
      </c>
    </row>
    <row r="25" spans="1:13" x14ac:dyDescent="0.2">
      <c r="A25" s="21" t="s">
        <v>3568</v>
      </c>
      <c r="B25" s="64" t="s">
        <v>3669</v>
      </c>
      <c r="C25" s="64" t="str">
        <f>_xlfn.CONCAT(A25," = ",B25)</f>
        <v xml:space="preserve">HxCDF = Hexachlorodibenzofuran </v>
      </c>
      <c r="D25" s="54"/>
      <c r="G25" s="81"/>
      <c r="H25" s="81"/>
      <c r="I25" s="81"/>
      <c r="J25" s="81"/>
      <c r="L25" s="64" t="s">
        <v>3700</v>
      </c>
      <c r="M25" s="64" t="s">
        <v>3733</v>
      </c>
    </row>
    <row r="26" spans="1:13" x14ac:dyDescent="0.2">
      <c r="A26" t="s">
        <v>3576</v>
      </c>
      <c r="B26" s="64" t="s">
        <v>3575</v>
      </c>
      <c r="C26" s="64" t="str">
        <f>_xlfn.CONCAT(A26," = ",B26)</f>
        <v>IARC = International Agency for Research on Cancer</v>
      </c>
      <c r="D26" s="54"/>
      <c r="G26" s="81"/>
      <c r="H26" s="81"/>
      <c r="I26" s="81"/>
      <c r="J26" s="81"/>
      <c r="L26" s="64" t="s">
        <v>3701</v>
      </c>
      <c r="M26" s="64" t="s">
        <v>3734</v>
      </c>
    </row>
    <row r="27" spans="1:13" x14ac:dyDescent="0.2">
      <c r="A27" s="20" t="s">
        <v>979</v>
      </c>
      <c r="B27" s="20" t="s">
        <v>978</v>
      </c>
      <c r="C27" s="64" t="str">
        <f>_xlfn.CONCAT(A27," = ",B27)</f>
        <v>IMHP = 2-Isopropyl-6-methyl-4-pyrimidinol</v>
      </c>
      <c r="D27" s="54"/>
      <c r="G27" s="81"/>
      <c r="H27" s="81"/>
      <c r="I27" s="81"/>
      <c r="J27" s="81"/>
      <c r="L27" s="64" t="s">
        <v>3702</v>
      </c>
      <c r="M27" s="64" t="s">
        <v>3735</v>
      </c>
    </row>
    <row r="28" spans="1:13" x14ac:dyDescent="0.2">
      <c r="A28" s="21" t="s">
        <v>975</v>
      </c>
      <c r="B28" s="21" t="s">
        <v>3654</v>
      </c>
      <c r="C28" s="64" t="str">
        <f>_xlfn.CONCAT(A28," = ",B28)</f>
        <v>Lin. = linear</v>
      </c>
      <c r="D28" s="54"/>
      <c r="G28" s="81"/>
      <c r="H28" s="81"/>
      <c r="I28" s="81"/>
      <c r="J28" s="81"/>
      <c r="L28" s="64" t="s">
        <v>3703</v>
      </c>
      <c r="M28" s="64" t="s">
        <v>3736</v>
      </c>
    </row>
    <row r="29" spans="1:13" x14ac:dyDescent="0.2">
      <c r="A29" s="21" t="s">
        <v>972</v>
      </c>
      <c r="B29" s="21" t="s">
        <v>3655</v>
      </c>
      <c r="C29" s="64" t="str">
        <f>_xlfn.CONCAT(A29," = ",B29)</f>
        <v>LLMs = lipid-like molecules</v>
      </c>
      <c r="D29" s="54"/>
      <c r="G29" s="81"/>
      <c r="H29" s="81"/>
      <c r="I29" s="81"/>
      <c r="J29" s="81"/>
      <c r="L29" s="64" t="s">
        <v>3704</v>
      </c>
      <c r="M29" s="64" t="s">
        <v>3737</v>
      </c>
    </row>
    <row r="30" spans="1:13" x14ac:dyDescent="0.2">
      <c r="A30" s="54" t="s">
        <v>3647</v>
      </c>
      <c r="B30" s="2" t="s">
        <v>3648</v>
      </c>
      <c r="C30" s="64" t="str">
        <f>_xlfn.CONCAT(A30," = ",B30)</f>
        <v>LOD = limit of detection</v>
      </c>
      <c r="D30" s="54"/>
      <c r="G30" s="81"/>
      <c r="H30" s="81"/>
      <c r="I30" s="81"/>
      <c r="J30" s="81"/>
      <c r="L30" s="64" t="s">
        <v>3705</v>
      </c>
      <c r="M30" s="64" t="s">
        <v>3738</v>
      </c>
    </row>
    <row r="31" spans="1:13" x14ac:dyDescent="0.2">
      <c r="A31" s="21" t="s">
        <v>3216</v>
      </c>
      <c r="B31" s="64" t="s">
        <v>3671</v>
      </c>
      <c r="C31" s="64" t="str">
        <f>_xlfn.CONCAT(A31," = ",B31)</f>
        <v>MBOT = 4,4'-Methylenebis(o-toluidine)</v>
      </c>
      <c r="D31" s="54"/>
      <c r="G31" s="81"/>
      <c r="H31" s="81"/>
      <c r="I31" s="81"/>
      <c r="J31" s="81"/>
      <c r="L31" s="64" t="s">
        <v>3706</v>
      </c>
      <c r="M31" s="64" t="s">
        <v>3739</v>
      </c>
    </row>
    <row r="32" spans="1:13" x14ac:dyDescent="0.2">
      <c r="A32" s="20" t="s">
        <v>2375</v>
      </c>
      <c r="B32" s="20" t="s">
        <v>969</v>
      </c>
      <c r="C32" s="64" t="str">
        <f>_xlfn.CONCAT(A32," = ",B32)</f>
        <v>MCPA = 2-Methyl-4-chlorophenoxyacetic acid</v>
      </c>
      <c r="D32" s="54"/>
      <c r="G32" s="81"/>
      <c r="H32" s="81"/>
      <c r="I32" s="81"/>
      <c r="J32" s="81"/>
      <c r="L32" s="64" t="s">
        <v>3707</v>
      </c>
      <c r="M32" s="64" t="s">
        <v>3740</v>
      </c>
    </row>
    <row r="33" spans="1:13" x14ac:dyDescent="0.2">
      <c r="A33" s="20" t="s">
        <v>3377</v>
      </c>
      <c r="B33" s="23" t="s">
        <v>966</v>
      </c>
      <c r="C33" s="64" t="str">
        <f>_xlfn.CONCAT(A33," = ",B33)</f>
        <v>MEcPP = Mono(5-carboxy-2-ethylpentyl) phthalate</v>
      </c>
      <c r="D33" s="54"/>
      <c r="G33" s="81"/>
      <c r="H33" s="81"/>
      <c r="I33" s="81"/>
      <c r="J33" s="81"/>
      <c r="L33" s="64" t="s">
        <v>3708</v>
      </c>
      <c r="M33" s="64" t="s">
        <v>3741</v>
      </c>
    </row>
    <row r="34" spans="1:13" x14ac:dyDescent="0.2">
      <c r="A34" s="20" t="s">
        <v>963</v>
      </c>
      <c r="B34" s="20" t="s">
        <v>962</v>
      </c>
      <c r="C34" s="64" t="str">
        <f>_xlfn.CONCAT(A34," = ",B34)</f>
        <v>MEHHP = Mono(2-ethyl-5-hydroxyhexyl) phthalate</v>
      </c>
      <c r="D34" s="54"/>
      <c r="G34" s="81"/>
      <c r="H34" s="81"/>
      <c r="I34" s="81"/>
      <c r="J34" s="81"/>
      <c r="L34" s="64" t="s">
        <v>3709</v>
      </c>
    </row>
    <row r="35" spans="1:13" x14ac:dyDescent="0.2">
      <c r="A35" s="20" t="s">
        <v>3215</v>
      </c>
      <c r="B35" s="20" t="s">
        <v>960</v>
      </c>
      <c r="C35" s="64" t="str">
        <f>_xlfn.CONCAT(A35," = ",B35)</f>
        <v>MEOHP = Mono(2-ethyl-5-oxohexyl) phthalate</v>
      </c>
      <c r="D35" s="54"/>
      <c r="G35" s="81"/>
      <c r="H35" s="81"/>
      <c r="I35" s="81"/>
      <c r="J35" s="81"/>
    </row>
    <row r="36" spans="1:13" x14ac:dyDescent="0.2">
      <c r="A36" s="21" t="s">
        <v>2088</v>
      </c>
      <c r="B36" s="64" t="s">
        <v>3672</v>
      </c>
      <c r="C36" s="64" t="str">
        <f>_xlfn.CONCAT(A36," = ",B36)</f>
        <v>MGK-264 = McLaughlin Gormley King-264 (also known as N-2-Ethylhexylbicycloheptenedicarboximide)</v>
      </c>
      <c r="D36" s="54"/>
      <c r="G36" s="81"/>
      <c r="H36" s="81"/>
      <c r="I36" s="81"/>
      <c r="J36" s="81"/>
    </row>
    <row r="37" spans="1:13" x14ac:dyDescent="0.2">
      <c r="A37" s="2" t="s">
        <v>3663</v>
      </c>
      <c r="B37" s="2" t="s">
        <v>3664</v>
      </c>
      <c r="C37" s="64" t="str">
        <f>_xlfn.CONCAT(A37," = ",B37)</f>
        <v>min = minutes</v>
      </c>
      <c r="D37" s="54"/>
      <c r="G37" s="81"/>
      <c r="H37" s="81"/>
      <c r="I37" s="81"/>
      <c r="J37" s="81"/>
    </row>
    <row r="38" spans="1:13" x14ac:dyDescent="0.2">
      <c r="A38" s="20" t="s">
        <v>957</v>
      </c>
      <c r="B38" s="20" t="s">
        <v>956</v>
      </c>
      <c r="C38" s="64" t="str">
        <f>_xlfn.CONCAT(A38," = ",B38)</f>
        <v>MOCA = 4,4'-Methylenebis(2-chloroaniline)</v>
      </c>
      <c r="D38" s="54"/>
      <c r="G38" s="81"/>
      <c r="H38" s="81"/>
      <c r="I38" s="81"/>
      <c r="J38" s="81"/>
    </row>
    <row r="39" spans="1:13" x14ac:dyDescent="0.2">
      <c r="A39" s="80" t="s">
        <v>3661</v>
      </c>
      <c r="B39" s="2" t="s">
        <v>3662</v>
      </c>
      <c r="C39" s="64" t="str">
        <f>_xlfn.CONCAT(A39," = ",B39)</f>
        <v>mz = mass-to-charge ratio</v>
      </c>
      <c r="D39" s="54"/>
      <c r="G39" s="81"/>
      <c r="H39" s="81"/>
      <c r="I39" s="81"/>
      <c r="J39" s="81"/>
    </row>
    <row r="40" spans="1:13" x14ac:dyDescent="0.2">
      <c r="A40" s="22" t="s">
        <v>953</v>
      </c>
      <c r="B40" s="21" t="s">
        <v>952</v>
      </c>
      <c r="C40" s="64" t="str">
        <f>_xlfn.CONCAT(A40," = ",B40)</f>
        <v>N-MeFOSAA = N-Methylperfluoro-1-octanesulfonamidoacetic acid (linear)</v>
      </c>
      <c r="D40" s="54"/>
      <c r="G40" s="81"/>
      <c r="H40" s="81"/>
      <c r="I40" s="81"/>
      <c r="J40" s="81"/>
    </row>
    <row r="41" spans="1:13" x14ac:dyDescent="0.2">
      <c r="A41" t="s">
        <v>3649</v>
      </c>
      <c r="B41" s="2" t="s">
        <v>3650</v>
      </c>
      <c r="C41" s="64" t="str">
        <f>_xlfn.CONCAT(A41," = ",B41)</f>
        <v>NHANES = National Health and Nutrition Examination Survey</v>
      </c>
      <c r="D41" s="54"/>
      <c r="G41" s="81"/>
      <c r="H41" s="81"/>
      <c r="I41" s="81"/>
      <c r="J41" s="81"/>
    </row>
    <row r="42" spans="1:13" x14ac:dyDescent="0.2">
      <c r="A42" s="2" t="s">
        <v>3580</v>
      </c>
      <c r="B42" s="2" t="s">
        <v>3579</v>
      </c>
      <c r="C42" s="64" t="str">
        <f>_xlfn.CONCAT(A42," = ",B42)</f>
        <v>NPE = nitrophenyl ether</v>
      </c>
      <c r="D42" s="54"/>
      <c r="G42" s="81"/>
      <c r="H42" s="81"/>
      <c r="I42" s="81"/>
      <c r="J42" s="81"/>
    </row>
    <row r="43" spans="1:13" x14ac:dyDescent="0.2">
      <c r="A43" s="20" t="s">
        <v>3200</v>
      </c>
      <c r="B43" s="20" t="s">
        <v>950</v>
      </c>
      <c r="C43" s="64" t="str">
        <f>_xlfn.CONCAT(A43," = ",B43)</f>
        <v>o-Dianisidine = 3,3'-Dimethoxybenzidine</v>
      </c>
      <c r="D43" s="54"/>
      <c r="G43" s="81"/>
      <c r="H43" s="81"/>
      <c r="I43" s="81"/>
      <c r="J43" s="81"/>
    </row>
    <row r="44" spans="1:13" x14ac:dyDescent="0.2">
      <c r="A44" s="20" t="s">
        <v>947</v>
      </c>
      <c r="B44" s="20" t="s">
        <v>946</v>
      </c>
      <c r="C44" s="64" t="str">
        <f>_xlfn.CONCAT(A44," = ",B44)</f>
        <v>OD-PABA = Octyl-dimethyl-p-aminobenzoic acid</v>
      </c>
      <c r="D44" s="54"/>
      <c r="G44" s="81"/>
      <c r="H44" s="81"/>
      <c r="I44" s="81"/>
      <c r="J44" s="81"/>
    </row>
    <row r="45" spans="1:13" x14ac:dyDescent="0.2">
      <c r="A45" s="21" t="s">
        <v>943</v>
      </c>
      <c r="B45" s="21" t="s">
        <v>3656</v>
      </c>
      <c r="C45" s="64" t="str">
        <f>_xlfn.CONCAT(A45," = ",B45)</f>
        <v>Org = organic</v>
      </c>
      <c r="D45" s="54"/>
      <c r="G45" s="81"/>
      <c r="H45" s="81"/>
      <c r="I45" s="81"/>
      <c r="J45" s="81"/>
    </row>
    <row r="46" spans="1:13" x14ac:dyDescent="0.2">
      <c r="A46" s="21" t="s">
        <v>941</v>
      </c>
      <c r="B46" s="21" t="s">
        <v>3657</v>
      </c>
      <c r="C46" s="64" t="str">
        <f>_xlfn.CONCAT(A46," = ",B46)</f>
        <v>Org. Heterocycl. = organoheterocyclic</v>
      </c>
      <c r="D46" s="54"/>
      <c r="G46" s="81"/>
      <c r="H46" s="81"/>
      <c r="I46" s="81"/>
      <c r="J46" s="81"/>
    </row>
    <row r="47" spans="1:13" x14ac:dyDescent="0.2">
      <c r="A47" s="20" t="s">
        <v>3199</v>
      </c>
      <c r="B47" s="20" t="s">
        <v>938</v>
      </c>
      <c r="C47" s="64" t="str">
        <f>_xlfn.CONCAT(A47," = ",B47)</f>
        <v>p-Chlorocresol = 4-Chloro-3-methylphenol</v>
      </c>
      <c r="D47" s="54"/>
      <c r="G47" s="81"/>
      <c r="H47" s="81"/>
      <c r="I47" s="81"/>
      <c r="J47" s="81"/>
    </row>
    <row r="48" spans="1:13" x14ac:dyDescent="0.2">
      <c r="A48" t="s">
        <v>3651</v>
      </c>
      <c r="B48" s="2" t="s">
        <v>3658</v>
      </c>
      <c r="C48" s="64" t="str">
        <f>_xlfn.CONCAT(A48," = ",B48)</f>
        <v>PAH = polycyclic aromatic hydrocarbon</v>
      </c>
      <c r="D48" s="54"/>
      <c r="G48" s="81"/>
      <c r="H48" s="81"/>
      <c r="I48" s="81"/>
      <c r="J48" s="81"/>
    </row>
    <row r="49" spans="1:10" x14ac:dyDescent="0.2">
      <c r="A49" s="21" t="s">
        <v>3673</v>
      </c>
      <c r="B49" s="64" t="s">
        <v>3674</v>
      </c>
      <c r="C49" s="64" t="str">
        <f>_xlfn.CONCAT(A49," = ",B49)</f>
        <v>PBB = polybrominated biphenyl</v>
      </c>
      <c r="D49" s="54"/>
      <c r="G49" s="81"/>
      <c r="H49" s="81"/>
      <c r="I49" s="81"/>
      <c r="J49" s="81"/>
    </row>
    <row r="50" spans="1:10" x14ac:dyDescent="0.2">
      <c r="A50" s="21" t="s">
        <v>3564</v>
      </c>
      <c r="B50" s="64" t="s">
        <v>3573</v>
      </c>
      <c r="C50" s="64" t="str">
        <f>_xlfn.CONCAT(A50," = ",B50)</f>
        <v>PCB = polychlorinated biphenyl</v>
      </c>
      <c r="D50" s="54"/>
      <c r="G50" s="81"/>
      <c r="H50" s="81"/>
      <c r="I50" s="81"/>
      <c r="J50" s="81"/>
    </row>
    <row r="51" spans="1:10" x14ac:dyDescent="0.2">
      <c r="A51" s="20" t="s">
        <v>3566</v>
      </c>
      <c r="B51" s="20" t="s">
        <v>3574</v>
      </c>
      <c r="C51" s="64" t="str">
        <f>_xlfn.CONCAT(A51," = ",B51)</f>
        <v>PCDF = Pentachlorodibenzofuran</v>
      </c>
      <c r="D51" s="54"/>
      <c r="G51" s="81"/>
      <c r="H51" s="81"/>
      <c r="I51" s="81"/>
      <c r="J51" s="81"/>
    </row>
    <row r="52" spans="1:10" x14ac:dyDescent="0.2">
      <c r="A52" s="21" t="s">
        <v>3570</v>
      </c>
      <c r="B52" s="64" t="s">
        <v>3675</v>
      </c>
      <c r="C52" s="64" t="str">
        <f>_xlfn.CONCAT(A52," = ",B52)</f>
        <v>PeCDD = pentachlorodibenzo-p-dioxin</v>
      </c>
      <c r="D52" s="54"/>
      <c r="G52" s="81"/>
      <c r="H52" s="81"/>
      <c r="I52" s="81"/>
      <c r="J52" s="81"/>
    </row>
    <row r="53" spans="1:10" x14ac:dyDescent="0.2">
      <c r="A53" s="21" t="s">
        <v>935</v>
      </c>
      <c r="B53" s="21" t="s">
        <v>3659</v>
      </c>
      <c r="C53" s="64" t="str">
        <f>_xlfn.CONCAT(A53," = ",B53)</f>
        <v>PKs = polyketides</v>
      </c>
      <c r="D53" s="54"/>
      <c r="G53" s="81"/>
      <c r="H53" s="81"/>
      <c r="I53" s="81"/>
      <c r="J53" s="81"/>
    </row>
    <row r="54" spans="1:10" x14ac:dyDescent="0.2">
      <c r="A54" s="2" t="s">
        <v>3578</v>
      </c>
      <c r="B54" s="2" t="s">
        <v>3577</v>
      </c>
      <c r="C54" s="64" t="str">
        <f>_xlfn.CONCAT(A54," = ",B54)</f>
        <v>PPB = parts per billion</v>
      </c>
      <c r="D54" s="54"/>
      <c r="G54" s="81"/>
      <c r="H54" s="81"/>
      <c r="I54" s="81"/>
      <c r="J54" s="81"/>
    </row>
    <row r="55" spans="1:10" x14ac:dyDescent="0.2">
      <c r="A55" s="64" t="s">
        <v>3383</v>
      </c>
      <c r="B55" s="64" t="s">
        <v>3660</v>
      </c>
      <c r="C55" s="64" t="str">
        <f>_xlfn.CONCAT(A55," = ",B55)</f>
        <v>RT = retention time</v>
      </c>
      <c r="D55" s="54"/>
      <c r="G55" s="81"/>
      <c r="H55" s="81"/>
      <c r="I55" s="81"/>
      <c r="J55" s="81"/>
    </row>
    <row r="56" spans="1:10" x14ac:dyDescent="0.2">
      <c r="A56" s="21" t="s">
        <v>932</v>
      </c>
      <c r="B56" s="21" t="s">
        <v>931</v>
      </c>
      <c r="C56" s="64" t="str">
        <f>_xlfn.CONCAT(A56," = ",B56)</f>
        <v>SDs = Substituted Derivatives</v>
      </c>
      <c r="D56" s="54"/>
      <c r="G56" s="81"/>
      <c r="H56" s="81"/>
      <c r="I56" s="81"/>
      <c r="J56" s="81"/>
    </row>
    <row r="57" spans="1:10" x14ac:dyDescent="0.2">
      <c r="A57" s="20" t="s">
        <v>928</v>
      </c>
      <c r="B57" s="21" t="s">
        <v>927</v>
      </c>
      <c r="C57" s="64" t="str">
        <f>_xlfn.CONCAT(A57," = ",B57)</f>
        <v>TBBPA-BAE = Tetrabromobisphenol A bis(allyl ether)</v>
      </c>
      <c r="D57" s="54"/>
      <c r="G57" s="81"/>
      <c r="H57" s="81"/>
      <c r="I57" s="81"/>
      <c r="J57" s="81"/>
    </row>
    <row r="58" spans="1:10" x14ac:dyDescent="0.2">
      <c r="A58" s="21" t="s">
        <v>1790</v>
      </c>
      <c r="B58" s="64" t="s">
        <v>3677</v>
      </c>
      <c r="C58" s="64" t="str">
        <f>_xlfn.CONCAT(A58," = ",B58)</f>
        <v>TCDD = tetrachlorodibenzo-p-dioxin</v>
      </c>
      <c r="D58" s="54"/>
      <c r="G58" s="81"/>
      <c r="H58" s="81"/>
      <c r="I58" s="81"/>
      <c r="J58" s="81"/>
    </row>
    <row r="59" spans="1:10" x14ac:dyDescent="0.2">
      <c r="A59" s="21" t="s">
        <v>1793</v>
      </c>
      <c r="B59" s="64" t="s">
        <v>3676</v>
      </c>
      <c r="C59" s="64" t="str">
        <f>_xlfn.CONCAT(A59," = ",B59)</f>
        <v>TCDF = tetrachlorodibenzofuran</v>
      </c>
      <c r="D59" s="54"/>
      <c r="G59" s="81"/>
      <c r="H59" s="81"/>
      <c r="I59" s="81"/>
      <c r="J59" s="81"/>
    </row>
    <row r="60" spans="1:10" x14ac:dyDescent="0.2">
      <c r="A60" s="21" t="s">
        <v>1155</v>
      </c>
      <c r="B60" s="21" t="s">
        <v>3583</v>
      </c>
      <c r="C60" s="64" t="str">
        <f>_xlfn.CONCAT(A60," = ",B60)</f>
        <v>TCP = Trichlorophenyl</v>
      </c>
      <c r="D60" s="54"/>
      <c r="G60" s="81"/>
      <c r="H60" s="81"/>
      <c r="I60" s="81"/>
      <c r="J60" s="81"/>
    </row>
    <row r="61" spans="1:10" x14ac:dyDescent="0.2">
      <c r="A61" s="64" t="s">
        <v>3590</v>
      </c>
      <c r="B61" s="21" t="s">
        <v>3590</v>
      </c>
      <c r="C61" s="64" t="str">
        <f>_xlfn.CONCAT(A61," = ",B61)</f>
        <v>TCP-4’-NPE = TCP-4’-NPE</v>
      </c>
      <c r="D61" s="54"/>
      <c r="G61" s="81"/>
      <c r="H61" s="81"/>
      <c r="I61" s="81"/>
      <c r="J61" s="81"/>
    </row>
    <row r="62" spans="1:10" x14ac:dyDescent="0.2">
      <c r="A62" s="20" t="s">
        <v>924</v>
      </c>
      <c r="B62" s="21" t="s">
        <v>923</v>
      </c>
      <c r="C62" s="64" t="str">
        <f>_xlfn.CONCAT(A62," = ",B62)</f>
        <v>TCPP = Tris(1-chloro-2-propyl) phosphate</v>
      </c>
      <c r="D62" s="54"/>
      <c r="G62" s="81"/>
      <c r="H62" s="81"/>
      <c r="I62" s="81"/>
      <c r="J62" s="81"/>
    </row>
    <row r="63" spans="1:10" x14ac:dyDescent="0.2">
      <c r="A63" s="21" t="s">
        <v>919</v>
      </c>
      <c r="B63" s="21" t="s">
        <v>918</v>
      </c>
      <c r="C63" s="64" t="str">
        <f>_xlfn.CONCAT(A63," = ",B63)</f>
        <v>TDCPP = Tris(1,3-dichloro-2-propyl)phosphate</v>
      </c>
      <c r="D63" s="54"/>
      <c r="G63" s="81"/>
      <c r="H63" s="81"/>
      <c r="I63" s="81"/>
      <c r="J63" s="81"/>
    </row>
    <row r="64" spans="1:10" x14ac:dyDescent="0.2">
      <c r="A64" s="20" t="s">
        <v>915</v>
      </c>
      <c r="B64" s="20" t="s">
        <v>914</v>
      </c>
      <c r="C64" s="64" t="str">
        <f>_xlfn.CONCAT(A64," = ",B64)</f>
        <v>TEEP = Tetraethyl ethylenediphosphonate</v>
      </c>
      <c r="D64" s="54"/>
      <c r="G64" s="81"/>
      <c r="H64" s="81"/>
      <c r="I64" s="81"/>
      <c r="J64" s="81"/>
    </row>
    <row r="65" spans="1:10" x14ac:dyDescent="0.2">
      <c r="A65" s="21" t="s">
        <v>911</v>
      </c>
      <c r="B65" s="21" t="s">
        <v>910</v>
      </c>
      <c r="C65" s="64" t="str">
        <f>_xlfn.CONCAT(A65," = ",B65)</f>
        <v>TPAs = Thiophosphoric acids</v>
      </c>
      <c r="D65" s="54"/>
      <c r="G65" s="81"/>
      <c r="H65" s="81"/>
      <c r="I65" s="81"/>
      <c r="J65" s="81"/>
    </row>
    <row r="66" spans="1:10" x14ac:dyDescent="0.2">
      <c r="A66" s="21" t="s">
        <v>1162</v>
      </c>
      <c r="B66" s="64" t="s">
        <v>3219</v>
      </c>
      <c r="C66" s="64" t="str">
        <f>_xlfn.CONCAT(A66," = ",B66)</f>
        <v>TTBNPP = Tris(tribromoneopentyl) phosphate</v>
      </c>
      <c r="D66" s="54"/>
      <c r="G66" s="81"/>
      <c r="H66" s="81"/>
      <c r="I66" s="81"/>
      <c r="J66" s="81"/>
    </row>
    <row r="67" spans="1:10" x14ac:dyDescent="0.2">
      <c r="D67" s="54"/>
    </row>
    <row r="68" spans="1:10" x14ac:dyDescent="0.2">
      <c r="D68" s="54"/>
    </row>
    <row r="69" spans="1:10" x14ac:dyDescent="0.2">
      <c r="D69" s="54"/>
    </row>
    <row r="70" spans="1:10" x14ac:dyDescent="0.2">
      <c r="D70" s="54"/>
    </row>
    <row r="71" spans="1:10" x14ac:dyDescent="0.2">
      <c r="D71" s="54"/>
    </row>
    <row r="72" spans="1:10" x14ac:dyDescent="0.2">
      <c r="D72" s="54"/>
    </row>
    <row r="73" spans="1:10" x14ac:dyDescent="0.2">
      <c r="D73" s="54"/>
    </row>
    <row r="74" spans="1:10" x14ac:dyDescent="0.2">
      <c r="D74" s="54"/>
    </row>
    <row r="75" spans="1:10" x14ac:dyDescent="0.2">
      <c r="D75" s="54"/>
    </row>
    <row r="76" spans="1:10" x14ac:dyDescent="0.2">
      <c r="D76" s="54"/>
    </row>
    <row r="77" spans="1:10" x14ac:dyDescent="0.2">
      <c r="D77" s="54"/>
    </row>
    <row r="78" spans="1:10" x14ac:dyDescent="0.2">
      <c r="D78" s="54"/>
    </row>
    <row r="79" spans="1:10" x14ac:dyDescent="0.2">
      <c r="D79" s="54"/>
    </row>
    <row r="80" spans="1:10" x14ac:dyDescent="0.2">
      <c r="D80" s="54"/>
    </row>
    <row r="81" spans="4:4" x14ac:dyDescent="0.2">
      <c r="D81" s="54"/>
    </row>
    <row r="82" spans="4:4" x14ac:dyDescent="0.2">
      <c r="D82" s="54"/>
    </row>
    <row r="83" spans="4:4" x14ac:dyDescent="0.2">
      <c r="D83" s="54"/>
    </row>
    <row r="84" spans="4:4" x14ac:dyDescent="0.2">
      <c r="D84" s="54"/>
    </row>
    <row r="85" spans="4:4" x14ac:dyDescent="0.2">
      <c r="D85" s="54"/>
    </row>
    <row r="86" spans="4:4" x14ac:dyDescent="0.2">
      <c r="D86" s="54"/>
    </row>
    <row r="87" spans="4:4" x14ac:dyDescent="0.2">
      <c r="D87" s="54"/>
    </row>
    <row r="88" spans="4:4" x14ac:dyDescent="0.2">
      <c r="D88" s="54"/>
    </row>
    <row r="89" spans="4:4" x14ac:dyDescent="0.2">
      <c r="D89" s="54"/>
    </row>
    <row r="90" spans="4:4" x14ac:dyDescent="0.2">
      <c r="D90" s="54"/>
    </row>
    <row r="91" spans="4:4" x14ac:dyDescent="0.2">
      <c r="D91" s="54"/>
    </row>
    <row r="92" spans="4:4" x14ac:dyDescent="0.2">
      <c r="D92" s="54"/>
    </row>
    <row r="93" spans="4:4" x14ac:dyDescent="0.2">
      <c r="D93" s="54"/>
    </row>
    <row r="94" spans="4:4" x14ac:dyDescent="0.2">
      <c r="D94" s="54"/>
    </row>
    <row r="95" spans="4:4" x14ac:dyDescent="0.2">
      <c r="D95" s="54"/>
    </row>
    <row r="96" spans="4:4" x14ac:dyDescent="0.2">
      <c r="D96" s="54"/>
    </row>
    <row r="97" spans="4:4" x14ac:dyDescent="0.2">
      <c r="D97" s="54"/>
    </row>
    <row r="98" spans="4:4" x14ac:dyDescent="0.2">
      <c r="D98" s="54"/>
    </row>
    <row r="99" spans="4:4" x14ac:dyDescent="0.2">
      <c r="D99" s="54"/>
    </row>
    <row r="100" spans="4:4" x14ac:dyDescent="0.2">
      <c r="D100" s="54"/>
    </row>
    <row r="101" spans="4:4" x14ac:dyDescent="0.2">
      <c r="D101" s="54"/>
    </row>
    <row r="102" spans="4:4" x14ac:dyDescent="0.2">
      <c r="D102" s="54"/>
    </row>
    <row r="103" spans="4:4" x14ac:dyDescent="0.2">
      <c r="D103" s="54"/>
    </row>
    <row r="104" spans="4:4" x14ac:dyDescent="0.2">
      <c r="D104" s="54"/>
    </row>
    <row r="105" spans="4:4" x14ac:dyDescent="0.2">
      <c r="D105" s="54"/>
    </row>
    <row r="106" spans="4:4" x14ac:dyDescent="0.2">
      <c r="D106" s="54"/>
    </row>
    <row r="107" spans="4:4" x14ac:dyDescent="0.2">
      <c r="D107" s="54"/>
    </row>
    <row r="108" spans="4:4" x14ac:dyDescent="0.2">
      <c r="D108" s="54"/>
    </row>
    <row r="109" spans="4:4" x14ac:dyDescent="0.2">
      <c r="D109" s="54"/>
    </row>
    <row r="110" spans="4:4" x14ac:dyDescent="0.2">
      <c r="D110" s="54"/>
    </row>
    <row r="111" spans="4:4" x14ac:dyDescent="0.2">
      <c r="D111" s="54"/>
    </row>
    <row r="112" spans="4:4" x14ac:dyDescent="0.2">
      <c r="D112" s="54"/>
    </row>
    <row r="113" spans="4:4" x14ac:dyDescent="0.2">
      <c r="D113" s="54"/>
    </row>
    <row r="114" spans="4:4" x14ac:dyDescent="0.2">
      <c r="D114" s="54"/>
    </row>
    <row r="115" spans="4:4" x14ac:dyDescent="0.2">
      <c r="D115" s="54"/>
    </row>
    <row r="116" spans="4:4" x14ac:dyDescent="0.2">
      <c r="D116" s="54"/>
    </row>
    <row r="117" spans="4:4" x14ac:dyDescent="0.2">
      <c r="D117" s="54"/>
    </row>
    <row r="118" spans="4:4" x14ac:dyDescent="0.2">
      <c r="D118" s="54"/>
    </row>
    <row r="119" spans="4:4" x14ac:dyDescent="0.2">
      <c r="D119" s="54"/>
    </row>
    <row r="120" spans="4:4" x14ac:dyDescent="0.2">
      <c r="D120" s="54"/>
    </row>
    <row r="121" spans="4:4" x14ac:dyDescent="0.2">
      <c r="D121" s="54"/>
    </row>
    <row r="122" spans="4:4" x14ac:dyDescent="0.2">
      <c r="D122" s="54"/>
    </row>
    <row r="123" spans="4:4" x14ac:dyDescent="0.2">
      <c r="D123" s="54"/>
    </row>
    <row r="124" spans="4:4" x14ac:dyDescent="0.2">
      <c r="D124" s="54"/>
    </row>
    <row r="125" spans="4:4" x14ac:dyDescent="0.2">
      <c r="D125" s="54"/>
    </row>
    <row r="126" spans="4:4" x14ac:dyDescent="0.2">
      <c r="D126" s="54"/>
    </row>
    <row r="127" spans="4:4" x14ac:dyDescent="0.2">
      <c r="D127" s="54"/>
    </row>
    <row r="128" spans="4:4" x14ac:dyDescent="0.2">
      <c r="D128" s="54"/>
    </row>
    <row r="129" spans="4:4" x14ac:dyDescent="0.2">
      <c r="D129" s="54"/>
    </row>
    <row r="130" spans="4:4" x14ac:dyDescent="0.2">
      <c r="D130" s="54"/>
    </row>
    <row r="131" spans="4:4" x14ac:dyDescent="0.2">
      <c r="D131" s="54"/>
    </row>
    <row r="132" spans="4:4" x14ac:dyDescent="0.2">
      <c r="D132" s="54"/>
    </row>
    <row r="133" spans="4:4" x14ac:dyDescent="0.2">
      <c r="D133" s="54"/>
    </row>
    <row r="134" spans="4:4" x14ac:dyDescent="0.2">
      <c r="D134" s="54"/>
    </row>
    <row r="135" spans="4:4" x14ac:dyDescent="0.2">
      <c r="D135" s="54"/>
    </row>
    <row r="136" spans="4:4" x14ac:dyDescent="0.2">
      <c r="D136" s="54"/>
    </row>
    <row r="137" spans="4:4" x14ac:dyDescent="0.2">
      <c r="D137" s="54"/>
    </row>
    <row r="138" spans="4:4" x14ac:dyDescent="0.2">
      <c r="D138" s="54"/>
    </row>
    <row r="139" spans="4:4" x14ac:dyDescent="0.2">
      <c r="D139" s="54"/>
    </row>
    <row r="140" spans="4:4" x14ac:dyDescent="0.2">
      <c r="D140" s="54"/>
    </row>
    <row r="141" spans="4:4" x14ac:dyDescent="0.2">
      <c r="D141" s="54"/>
    </row>
    <row r="142" spans="4:4" x14ac:dyDescent="0.2">
      <c r="D142" s="54"/>
    </row>
    <row r="143" spans="4:4" x14ac:dyDescent="0.2">
      <c r="D143" s="54"/>
    </row>
    <row r="144" spans="4:4" x14ac:dyDescent="0.2">
      <c r="D144" s="54"/>
    </row>
    <row r="145" spans="4:4" x14ac:dyDescent="0.2">
      <c r="D145" s="54"/>
    </row>
    <row r="146" spans="4:4" x14ac:dyDescent="0.2">
      <c r="D146" s="54"/>
    </row>
    <row r="147" spans="4:4" x14ac:dyDescent="0.2">
      <c r="D147" s="54"/>
    </row>
    <row r="148" spans="4:4" x14ac:dyDescent="0.2">
      <c r="D148" s="54"/>
    </row>
    <row r="149" spans="4:4" x14ac:dyDescent="0.2">
      <c r="D149" s="54"/>
    </row>
    <row r="150" spans="4:4" x14ac:dyDescent="0.2">
      <c r="D150" s="54"/>
    </row>
    <row r="151" spans="4:4" x14ac:dyDescent="0.2">
      <c r="D151" s="54"/>
    </row>
    <row r="152" spans="4:4" x14ac:dyDescent="0.2">
      <c r="D152" s="54"/>
    </row>
    <row r="153" spans="4:4" x14ac:dyDescent="0.2">
      <c r="D153" s="54"/>
    </row>
    <row r="154" spans="4:4" x14ac:dyDescent="0.2">
      <c r="D154" s="54"/>
    </row>
    <row r="155" spans="4:4" x14ac:dyDescent="0.2">
      <c r="D155" s="54"/>
    </row>
    <row r="156" spans="4:4" x14ac:dyDescent="0.2">
      <c r="D156" s="54"/>
    </row>
    <row r="157" spans="4:4" x14ac:dyDescent="0.2">
      <c r="D157" s="54"/>
    </row>
    <row r="158" spans="4:4" x14ac:dyDescent="0.2">
      <c r="D158" s="54"/>
    </row>
    <row r="159" spans="4:4" x14ac:dyDescent="0.2">
      <c r="D159" s="54"/>
    </row>
    <row r="160" spans="4:4" x14ac:dyDescent="0.2">
      <c r="D160" s="54"/>
    </row>
    <row r="161" spans="4:4" x14ac:dyDescent="0.2">
      <c r="D161" s="54"/>
    </row>
    <row r="162" spans="4:4" x14ac:dyDescent="0.2">
      <c r="D162" s="54"/>
    </row>
    <row r="163" spans="4:4" x14ac:dyDescent="0.2">
      <c r="D163" s="54"/>
    </row>
    <row r="164" spans="4:4" x14ac:dyDescent="0.2">
      <c r="D164" s="54"/>
    </row>
    <row r="165" spans="4:4" x14ac:dyDescent="0.2">
      <c r="D165" s="54"/>
    </row>
    <row r="166" spans="4:4" x14ac:dyDescent="0.2">
      <c r="D166" s="54"/>
    </row>
    <row r="167" spans="4:4" x14ac:dyDescent="0.2">
      <c r="D167" s="54"/>
    </row>
    <row r="168" spans="4:4" x14ac:dyDescent="0.2">
      <c r="D168" s="54"/>
    </row>
    <row r="169" spans="4:4" x14ac:dyDescent="0.2">
      <c r="D169" s="54"/>
    </row>
    <row r="170" spans="4:4" x14ac:dyDescent="0.2">
      <c r="D170" s="54"/>
    </row>
    <row r="171" spans="4:4" x14ac:dyDescent="0.2">
      <c r="D171" s="54"/>
    </row>
    <row r="172" spans="4:4" x14ac:dyDescent="0.2">
      <c r="D172" s="54"/>
    </row>
    <row r="173" spans="4:4" x14ac:dyDescent="0.2">
      <c r="D173" s="54"/>
    </row>
    <row r="174" spans="4:4" x14ac:dyDescent="0.2">
      <c r="D174" s="54"/>
    </row>
    <row r="175" spans="4:4" x14ac:dyDescent="0.2">
      <c r="D175" s="54"/>
    </row>
    <row r="176" spans="4:4" x14ac:dyDescent="0.2">
      <c r="D176" s="54"/>
    </row>
    <row r="177" spans="4:4" x14ac:dyDescent="0.2">
      <c r="D177" s="54"/>
    </row>
    <row r="178" spans="4:4" x14ac:dyDescent="0.2">
      <c r="D178" s="54"/>
    </row>
    <row r="179" spans="4:4" x14ac:dyDescent="0.2">
      <c r="D179" s="54"/>
    </row>
    <row r="180" spans="4:4" x14ac:dyDescent="0.2">
      <c r="D180" s="54"/>
    </row>
    <row r="181" spans="4:4" x14ac:dyDescent="0.2">
      <c r="D181" s="54"/>
    </row>
    <row r="182" spans="4:4" x14ac:dyDescent="0.2">
      <c r="D182" s="54"/>
    </row>
    <row r="183" spans="4:4" x14ac:dyDescent="0.2">
      <c r="D183" s="54"/>
    </row>
    <row r="184" spans="4:4" x14ac:dyDescent="0.2">
      <c r="D184" s="54"/>
    </row>
    <row r="185" spans="4:4" x14ac:dyDescent="0.2">
      <c r="D185" s="54"/>
    </row>
    <row r="186" spans="4:4" x14ac:dyDescent="0.2">
      <c r="D186" s="54"/>
    </row>
    <row r="187" spans="4:4" x14ac:dyDescent="0.2">
      <c r="D187" s="54"/>
    </row>
    <row r="188" spans="4:4" x14ac:dyDescent="0.2">
      <c r="D188" s="54"/>
    </row>
    <row r="189" spans="4:4" x14ac:dyDescent="0.2">
      <c r="D189" s="54"/>
    </row>
    <row r="190" spans="4:4" x14ac:dyDescent="0.2">
      <c r="D190" s="54"/>
    </row>
    <row r="191" spans="4:4" x14ac:dyDescent="0.2">
      <c r="D191" s="54"/>
    </row>
    <row r="192" spans="4:4" x14ac:dyDescent="0.2">
      <c r="D192" s="54"/>
    </row>
    <row r="193" spans="4:4" x14ac:dyDescent="0.2">
      <c r="D193" s="54"/>
    </row>
    <row r="194" spans="4:4" x14ac:dyDescent="0.2">
      <c r="D194" s="54"/>
    </row>
    <row r="195" spans="4:4" x14ac:dyDescent="0.2">
      <c r="D195" s="54"/>
    </row>
    <row r="196" spans="4:4" x14ac:dyDescent="0.2">
      <c r="D196" s="54"/>
    </row>
    <row r="197" spans="4:4" x14ac:dyDescent="0.2">
      <c r="D197" s="54"/>
    </row>
    <row r="198" spans="4:4" x14ac:dyDescent="0.2">
      <c r="D198" s="54"/>
    </row>
    <row r="199" spans="4:4" x14ac:dyDescent="0.2">
      <c r="D199" s="54"/>
    </row>
    <row r="200" spans="4:4" x14ac:dyDescent="0.2">
      <c r="D200" s="54"/>
    </row>
    <row r="201" spans="4:4" x14ac:dyDescent="0.2">
      <c r="D201" s="54"/>
    </row>
    <row r="202" spans="4:4" x14ac:dyDescent="0.2">
      <c r="D202" s="54"/>
    </row>
    <row r="203" spans="4:4" x14ac:dyDescent="0.2">
      <c r="D203" s="54"/>
    </row>
    <row r="204" spans="4:4" x14ac:dyDescent="0.2">
      <c r="D204" s="54"/>
    </row>
    <row r="205" spans="4:4" x14ac:dyDescent="0.2">
      <c r="D205" s="54"/>
    </row>
    <row r="206" spans="4:4" x14ac:dyDescent="0.2">
      <c r="D206" s="54"/>
    </row>
    <row r="207" spans="4:4" x14ac:dyDescent="0.2">
      <c r="D207" s="54"/>
    </row>
    <row r="208" spans="4:4" x14ac:dyDescent="0.2">
      <c r="D208" s="54"/>
    </row>
    <row r="209" spans="4:4" x14ac:dyDescent="0.2">
      <c r="D209" s="54"/>
    </row>
    <row r="210" spans="4:4" x14ac:dyDescent="0.2">
      <c r="D210" s="54"/>
    </row>
    <row r="211" spans="4:4" x14ac:dyDescent="0.2">
      <c r="D211" s="54"/>
    </row>
    <row r="212" spans="4:4" x14ac:dyDescent="0.2">
      <c r="D212" s="54"/>
    </row>
    <row r="213" spans="4:4" x14ac:dyDescent="0.2">
      <c r="D213" s="54"/>
    </row>
    <row r="214" spans="4:4" x14ac:dyDescent="0.2">
      <c r="D214" s="54"/>
    </row>
    <row r="215" spans="4:4" x14ac:dyDescent="0.2">
      <c r="D215" s="54"/>
    </row>
    <row r="216" spans="4:4" x14ac:dyDescent="0.2">
      <c r="D216" s="54"/>
    </row>
    <row r="217" spans="4:4" x14ac:dyDescent="0.2">
      <c r="D217" s="54"/>
    </row>
    <row r="218" spans="4:4" x14ac:dyDescent="0.2">
      <c r="D218" s="54"/>
    </row>
    <row r="219" spans="4:4" x14ac:dyDescent="0.2">
      <c r="D219" s="54"/>
    </row>
    <row r="220" spans="4:4" x14ac:dyDescent="0.2">
      <c r="D220" s="54"/>
    </row>
    <row r="221" spans="4:4" x14ac:dyDescent="0.2">
      <c r="D221" s="54"/>
    </row>
    <row r="222" spans="4:4" x14ac:dyDescent="0.2">
      <c r="D222" s="54"/>
    </row>
    <row r="223" spans="4:4" x14ac:dyDescent="0.2">
      <c r="D223" s="54"/>
    </row>
    <row r="224" spans="4:4" x14ac:dyDescent="0.2">
      <c r="D224" s="54"/>
    </row>
    <row r="225" spans="4:4" x14ac:dyDescent="0.2">
      <c r="D225" s="54"/>
    </row>
    <row r="226" spans="4:4" x14ac:dyDescent="0.2">
      <c r="D226" s="54"/>
    </row>
    <row r="227" spans="4:4" x14ac:dyDescent="0.2">
      <c r="D227" s="54"/>
    </row>
    <row r="228" spans="4:4" x14ac:dyDescent="0.2">
      <c r="D228" s="54"/>
    </row>
    <row r="229" spans="4:4" x14ac:dyDescent="0.2">
      <c r="D229" s="54"/>
    </row>
    <row r="230" spans="4:4" x14ac:dyDescent="0.2">
      <c r="D230" s="54"/>
    </row>
    <row r="231" spans="4:4" x14ac:dyDescent="0.2">
      <c r="D231" s="54"/>
    </row>
    <row r="232" spans="4:4" x14ac:dyDescent="0.2">
      <c r="D232" s="54"/>
    </row>
    <row r="233" spans="4:4" x14ac:dyDescent="0.2">
      <c r="D233" s="54"/>
    </row>
    <row r="234" spans="4:4" x14ac:dyDescent="0.2">
      <c r="D234" s="54"/>
    </row>
    <row r="235" spans="4:4" x14ac:dyDescent="0.2">
      <c r="D235" s="54"/>
    </row>
    <row r="236" spans="4:4" x14ac:dyDescent="0.2">
      <c r="D236" s="54"/>
    </row>
    <row r="237" spans="4:4" x14ac:dyDescent="0.2">
      <c r="D237" s="54"/>
    </row>
    <row r="238" spans="4:4" x14ac:dyDescent="0.2">
      <c r="D238" s="54"/>
    </row>
    <row r="239" spans="4:4" x14ac:dyDescent="0.2">
      <c r="D239" s="54"/>
    </row>
    <row r="240" spans="4:4" x14ac:dyDescent="0.2">
      <c r="D240" s="54"/>
    </row>
    <row r="241" spans="4:4" x14ac:dyDescent="0.2">
      <c r="D241" s="54"/>
    </row>
    <row r="242" spans="4:4" x14ac:dyDescent="0.2">
      <c r="D242" s="54"/>
    </row>
    <row r="243" spans="4:4" x14ac:dyDescent="0.2">
      <c r="D243" s="54"/>
    </row>
    <row r="244" spans="4:4" x14ac:dyDescent="0.2">
      <c r="D244" s="54"/>
    </row>
    <row r="245" spans="4:4" x14ac:dyDescent="0.2">
      <c r="D245" s="54"/>
    </row>
    <row r="246" spans="4:4" x14ac:dyDescent="0.2">
      <c r="D246" s="54"/>
    </row>
    <row r="247" spans="4:4" x14ac:dyDescent="0.2">
      <c r="D247" s="54"/>
    </row>
    <row r="248" spans="4:4" x14ac:dyDescent="0.2">
      <c r="D248" s="54"/>
    </row>
    <row r="249" spans="4:4" x14ac:dyDescent="0.2">
      <c r="D249" s="54"/>
    </row>
    <row r="250" spans="4:4" x14ac:dyDescent="0.2">
      <c r="D250" s="54"/>
    </row>
    <row r="251" spans="4:4" x14ac:dyDescent="0.2">
      <c r="D251" s="54"/>
    </row>
    <row r="252" spans="4:4" x14ac:dyDescent="0.2">
      <c r="D252" s="54"/>
    </row>
    <row r="253" spans="4:4" x14ac:dyDescent="0.2">
      <c r="D253" s="54"/>
    </row>
    <row r="254" spans="4:4" x14ac:dyDescent="0.2">
      <c r="D254" s="54"/>
    </row>
    <row r="255" spans="4:4" x14ac:dyDescent="0.2">
      <c r="D255" s="54"/>
    </row>
    <row r="256" spans="4:4" x14ac:dyDescent="0.2">
      <c r="D256" s="54"/>
    </row>
    <row r="257" spans="4:4" x14ac:dyDescent="0.2">
      <c r="D257" s="54"/>
    </row>
    <row r="258" spans="4:4" x14ac:dyDescent="0.2">
      <c r="D258" s="54"/>
    </row>
    <row r="259" spans="4:4" x14ac:dyDescent="0.2">
      <c r="D259" s="54"/>
    </row>
    <row r="260" spans="4:4" x14ac:dyDescent="0.2">
      <c r="D260" s="54"/>
    </row>
    <row r="261" spans="4:4" x14ac:dyDescent="0.2">
      <c r="D261" s="54"/>
    </row>
    <row r="262" spans="4:4" x14ac:dyDescent="0.2">
      <c r="D262" s="54"/>
    </row>
    <row r="263" spans="4:4" x14ac:dyDescent="0.2">
      <c r="D263" s="54"/>
    </row>
    <row r="264" spans="4:4" x14ac:dyDescent="0.2">
      <c r="D264" s="54"/>
    </row>
    <row r="265" spans="4:4" x14ac:dyDescent="0.2">
      <c r="D265" s="54"/>
    </row>
    <row r="266" spans="4:4" x14ac:dyDescent="0.2">
      <c r="D266" s="54"/>
    </row>
    <row r="267" spans="4:4" x14ac:dyDescent="0.2">
      <c r="D267" s="54"/>
    </row>
    <row r="268" spans="4:4" x14ac:dyDescent="0.2">
      <c r="D268" s="54"/>
    </row>
    <row r="269" spans="4:4" x14ac:dyDescent="0.2">
      <c r="D269" s="54"/>
    </row>
    <row r="270" spans="4:4" x14ac:dyDescent="0.2">
      <c r="D270" s="54"/>
    </row>
    <row r="271" spans="4:4" x14ac:dyDescent="0.2">
      <c r="D271" s="54"/>
    </row>
    <row r="272" spans="4:4" x14ac:dyDescent="0.2">
      <c r="D272" s="54"/>
    </row>
    <row r="273" spans="4:4" x14ac:dyDescent="0.2">
      <c r="D273" s="54"/>
    </row>
    <row r="274" spans="4:4" x14ac:dyDescent="0.2">
      <c r="D274" s="54"/>
    </row>
    <row r="275" spans="4:4" x14ac:dyDescent="0.2">
      <c r="D275" s="54"/>
    </row>
    <row r="276" spans="4:4" x14ac:dyDescent="0.2">
      <c r="D276" s="54"/>
    </row>
    <row r="277" spans="4:4" x14ac:dyDescent="0.2">
      <c r="D277" s="54"/>
    </row>
    <row r="278" spans="4:4" x14ac:dyDescent="0.2">
      <c r="D278" s="54"/>
    </row>
    <row r="279" spans="4:4" x14ac:dyDescent="0.2">
      <c r="D279" s="54"/>
    </row>
    <row r="280" spans="4:4" x14ac:dyDescent="0.2">
      <c r="D280" s="54"/>
    </row>
    <row r="281" spans="4:4" x14ac:dyDescent="0.2">
      <c r="D281" s="54"/>
    </row>
    <row r="282" spans="4:4" x14ac:dyDescent="0.2">
      <c r="D282" s="54"/>
    </row>
    <row r="283" spans="4:4" x14ac:dyDescent="0.2">
      <c r="D283" s="54"/>
    </row>
    <row r="284" spans="4:4" x14ac:dyDescent="0.2">
      <c r="D284" s="54"/>
    </row>
    <row r="285" spans="4:4" x14ac:dyDescent="0.2">
      <c r="D285" s="54"/>
    </row>
    <row r="286" spans="4:4" x14ac:dyDescent="0.2">
      <c r="D286" s="54"/>
    </row>
    <row r="287" spans="4:4" x14ac:dyDescent="0.2">
      <c r="D287" s="54"/>
    </row>
    <row r="288" spans="4:4" x14ac:dyDescent="0.2">
      <c r="D288" s="54"/>
    </row>
    <row r="289" spans="4:4" x14ac:dyDescent="0.2">
      <c r="D289" s="54"/>
    </row>
    <row r="290" spans="4:4" x14ac:dyDescent="0.2">
      <c r="D290" s="54"/>
    </row>
    <row r="291" spans="4:4" x14ac:dyDescent="0.2">
      <c r="D291" s="54"/>
    </row>
    <row r="292" spans="4:4" x14ac:dyDescent="0.2">
      <c r="D292" s="54"/>
    </row>
    <row r="293" spans="4:4" x14ac:dyDescent="0.2">
      <c r="D293" s="54"/>
    </row>
    <row r="294" spans="4:4" x14ac:dyDescent="0.2">
      <c r="D294" s="54"/>
    </row>
    <row r="295" spans="4:4" x14ac:dyDescent="0.2">
      <c r="D295" s="54"/>
    </row>
    <row r="296" spans="4:4" x14ac:dyDescent="0.2">
      <c r="D296" s="54"/>
    </row>
    <row r="297" spans="4:4" x14ac:dyDescent="0.2">
      <c r="D297" s="54"/>
    </row>
    <row r="298" spans="4:4" x14ac:dyDescent="0.2">
      <c r="D298" s="54"/>
    </row>
    <row r="299" spans="4:4" x14ac:dyDescent="0.2">
      <c r="D299" s="54"/>
    </row>
    <row r="300" spans="4:4" x14ac:dyDescent="0.2">
      <c r="D300" s="54"/>
    </row>
    <row r="301" spans="4:4" x14ac:dyDescent="0.2">
      <c r="D301" s="54"/>
    </row>
    <row r="302" spans="4:4" x14ac:dyDescent="0.2">
      <c r="D302" s="54"/>
    </row>
    <row r="303" spans="4:4" x14ac:dyDescent="0.2">
      <c r="D303" s="54"/>
    </row>
    <row r="304" spans="4:4" x14ac:dyDescent="0.2">
      <c r="D304" s="54"/>
    </row>
    <row r="305" spans="4:4" x14ac:dyDescent="0.2">
      <c r="D305" s="54"/>
    </row>
    <row r="306" spans="4:4" x14ac:dyDescent="0.2">
      <c r="D306" s="54"/>
    </row>
    <row r="307" spans="4:4" x14ac:dyDescent="0.2">
      <c r="D307" s="54"/>
    </row>
    <row r="308" spans="4:4" x14ac:dyDescent="0.2">
      <c r="D308" s="54"/>
    </row>
    <row r="309" spans="4:4" x14ac:dyDescent="0.2">
      <c r="D309" s="54"/>
    </row>
    <row r="310" spans="4:4" x14ac:dyDescent="0.2">
      <c r="D310" s="54"/>
    </row>
    <row r="311" spans="4:4" x14ac:dyDescent="0.2">
      <c r="D311" s="54"/>
    </row>
    <row r="312" spans="4:4" x14ac:dyDescent="0.2">
      <c r="D312" s="54"/>
    </row>
    <row r="313" spans="4:4" x14ac:dyDescent="0.2">
      <c r="D313" s="54"/>
    </row>
    <row r="314" spans="4:4" x14ac:dyDescent="0.2">
      <c r="D314" s="54"/>
    </row>
    <row r="315" spans="4:4" x14ac:dyDescent="0.2">
      <c r="D315" s="54"/>
    </row>
    <row r="316" spans="4:4" x14ac:dyDescent="0.2">
      <c r="D316" s="54"/>
    </row>
    <row r="317" spans="4:4" x14ac:dyDescent="0.2">
      <c r="D317" s="54"/>
    </row>
    <row r="318" spans="4:4" x14ac:dyDescent="0.2">
      <c r="D318" s="54"/>
    </row>
    <row r="319" spans="4:4" x14ac:dyDescent="0.2">
      <c r="D319" s="54"/>
    </row>
    <row r="320" spans="4:4" x14ac:dyDescent="0.2">
      <c r="D320" s="54"/>
    </row>
    <row r="321" spans="4:4" x14ac:dyDescent="0.2">
      <c r="D321" s="54"/>
    </row>
    <row r="322" spans="4:4" x14ac:dyDescent="0.2">
      <c r="D322" s="54"/>
    </row>
    <row r="323" spans="4:4" x14ac:dyDescent="0.2">
      <c r="D323" s="54"/>
    </row>
    <row r="324" spans="4:4" x14ac:dyDescent="0.2">
      <c r="D324" s="54"/>
    </row>
    <row r="325" spans="4:4" x14ac:dyDescent="0.2">
      <c r="D325" s="54"/>
    </row>
    <row r="326" spans="4:4" x14ac:dyDescent="0.2">
      <c r="D326" s="54"/>
    </row>
    <row r="327" spans="4:4" x14ac:dyDescent="0.2">
      <c r="D327" s="54"/>
    </row>
    <row r="328" spans="4:4" x14ac:dyDescent="0.2">
      <c r="D328" s="54"/>
    </row>
    <row r="329" spans="4:4" x14ac:dyDescent="0.2">
      <c r="D329" s="54"/>
    </row>
    <row r="330" spans="4:4" x14ac:dyDescent="0.2">
      <c r="D330" s="54"/>
    </row>
    <row r="331" spans="4:4" x14ac:dyDescent="0.2">
      <c r="D331" s="54"/>
    </row>
    <row r="332" spans="4:4" x14ac:dyDescent="0.2">
      <c r="D332" s="54"/>
    </row>
    <row r="333" spans="4:4" x14ac:dyDescent="0.2">
      <c r="D333" s="54"/>
    </row>
    <row r="334" spans="4:4" x14ac:dyDescent="0.2">
      <c r="D334" s="54"/>
    </row>
    <row r="335" spans="4:4" x14ac:dyDescent="0.2">
      <c r="D335" s="54"/>
    </row>
    <row r="336" spans="4:4" x14ac:dyDescent="0.2">
      <c r="D336" s="54"/>
    </row>
    <row r="337" spans="4:4" x14ac:dyDescent="0.2">
      <c r="D337" s="54"/>
    </row>
    <row r="338" spans="4:4" x14ac:dyDescent="0.2">
      <c r="D338" s="54"/>
    </row>
    <row r="339" spans="4:4" x14ac:dyDescent="0.2">
      <c r="D339" s="54"/>
    </row>
    <row r="340" spans="4:4" x14ac:dyDescent="0.2">
      <c r="D340" s="54"/>
    </row>
    <row r="341" spans="4:4" x14ac:dyDescent="0.2">
      <c r="D341" s="54"/>
    </row>
    <row r="342" spans="4:4" x14ac:dyDescent="0.2">
      <c r="D342" s="54"/>
    </row>
    <row r="343" spans="4:4" x14ac:dyDescent="0.2">
      <c r="D343" s="54"/>
    </row>
    <row r="344" spans="4:4" x14ac:dyDescent="0.2">
      <c r="D344" s="54"/>
    </row>
    <row r="345" spans="4:4" x14ac:dyDescent="0.2">
      <c r="D345" s="54"/>
    </row>
    <row r="346" spans="4:4" x14ac:dyDescent="0.2">
      <c r="D346" s="54"/>
    </row>
    <row r="347" spans="4:4" x14ac:dyDescent="0.2">
      <c r="D347" s="54"/>
    </row>
    <row r="348" spans="4:4" x14ac:dyDescent="0.2">
      <c r="D348" s="54"/>
    </row>
    <row r="349" spans="4:4" x14ac:dyDescent="0.2">
      <c r="D349" s="54"/>
    </row>
    <row r="350" spans="4:4" x14ac:dyDescent="0.2">
      <c r="D350" s="54"/>
    </row>
    <row r="351" spans="4:4" x14ac:dyDescent="0.2">
      <c r="D351" s="54"/>
    </row>
    <row r="352" spans="4:4" x14ac:dyDescent="0.2">
      <c r="D352" s="54"/>
    </row>
    <row r="353" spans="4:4" x14ac:dyDescent="0.2">
      <c r="D353" s="54"/>
    </row>
    <row r="354" spans="4:4" x14ac:dyDescent="0.2">
      <c r="D354" s="54"/>
    </row>
    <row r="355" spans="4:4" x14ac:dyDescent="0.2">
      <c r="D355" s="54"/>
    </row>
    <row r="356" spans="4:4" x14ac:dyDescent="0.2">
      <c r="D356" s="54"/>
    </row>
    <row r="357" spans="4:4" x14ac:dyDescent="0.2">
      <c r="D357" s="54"/>
    </row>
    <row r="358" spans="4:4" x14ac:dyDescent="0.2">
      <c r="D358" s="54"/>
    </row>
    <row r="359" spans="4:4" x14ac:dyDescent="0.2">
      <c r="D359" s="54"/>
    </row>
    <row r="360" spans="4:4" x14ac:dyDescent="0.2">
      <c r="D360" s="54"/>
    </row>
    <row r="361" spans="4:4" x14ac:dyDescent="0.2">
      <c r="D361" s="54"/>
    </row>
    <row r="362" spans="4:4" x14ac:dyDescent="0.2">
      <c r="D362" s="54"/>
    </row>
    <row r="363" spans="4:4" x14ac:dyDescent="0.2">
      <c r="D363" s="54"/>
    </row>
    <row r="364" spans="4:4" x14ac:dyDescent="0.2">
      <c r="D364" s="54"/>
    </row>
    <row r="365" spans="4:4" x14ac:dyDescent="0.2">
      <c r="D365" s="54"/>
    </row>
    <row r="366" spans="4:4" x14ac:dyDescent="0.2">
      <c r="D366" s="54"/>
    </row>
    <row r="367" spans="4:4" x14ac:dyDescent="0.2">
      <c r="D367" s="54"/>
    </row>
    <row r="368" spans="4:4" x14ac:dyDescent="0.2">
      <c r="D368" s="54"/>
    </row>
    <row r="369" spans="4:4" x14ac:dyDescent="0.2">
      <c r="D369" s="54"/>
    </row>
    <row r="370" spans="4:4" x14ac:dyDescent="0.2">
      <c r="D370" s="54"/>
    </row>
    <row r="371" spans="4:4" x14ac:dyDescent="0.2">
      <c r="D371" s="54"/>
    </row>
    <row r="372" spans="4:4" x14ac:dyDescent="0.2">
      <c r="D372" s="54"/>
    </row>
    <row r="373" spans="4:4" x14ac:dyDescent="0.2">
      <c r="D373" s="54"/>
    </row>
    <row r="374" spans="4:4" x14ac:dyDescent="0.2">
      <c r="D374" s="54"/>
    </row>
    <row r="375" spans="4:4" x14ac:dyDescent="0.2">
      <c r="D375" s="54"/>
    </row>
    <row r="376" spans="4:4" x14ac:dyDescent="0.2">
      <c r="D376" s="54"/>
    </row>
    <row r="377" spans="4:4" x14ac:dyDescent="0.2">
      <c r="D377" s="54"/>
    </row>
    <row r="378" spans="4:4" x14ac:dyDescent="0.2">
      <c r="D378" s="54"/>
    </row>
    <row r="379" spans="4:4" x14ac:dyDescent="0.2">
      <c r="D379" s="54"/>
    </row>
    <row r="380" spans="4:4" x14ac:dyDescent="0.2">
      <c r="D380" s="54"/>
    </row>
    <row r="381" spans="4:4" x14ac:dyDescent="0.2">
      <c r="D381" s="54"/>
    </row>
    <row r="382" spans="4:4" x14ac:dyDescent="0.2">
      <c r="D382" s="54"/>
    </row>
    <row r="383" spans="4:4" x14ac:dyDescent="0.2">
      <c r="D383" s="54"/>
    </row>
    <row r="384" spans="4:4" x14ac:dyDescent="0.2">
      <c r="D384" s="54"/>
    </row>
    <row r="385" spans="4:4" x14ac:dyDescent="0.2">
      <c r="D385" s="54"/>
    </row>
    <row r="386" spans="4:4" x14ac:dyDescent="0.2">
      <c r="D386" s="54"/>
    </row>
    <row r="387" spans="4:4" x14ac:dyDescent="0.2">
      <c r="D387" s="54"/>
    </row>
    <row r="388" spans="4:4" x14ac:dyDescent="0.2">
      <c r="D388" s="54"/>
    </row>
    <row r="389" spans="4:4" x14ac:dyDescent="0.2">
      <c r="D389" s="54"/>
    </row>
    <row r="390" spans="4:4" x14ac:dyDescent="0.2">
      <c r="D390" s="54"/>
    </row>
    <row r="391" spans="4:4" x14ac:dyDescent="0.2">
      <c r="D391" s="54"/>
    </row>
    <row r="392" spans="4:4" x14ac:dyDescent="0.2">
      <c r="D392" s="54"/>
    </row>
    <row r="393" spans="4:4" x14ac:dyDescent="0.2">
      <c r="D393" s="54"/>
    </row>
    <row r="394" spans="4:4" x14ac:dyDescent="0.2">
      <c r="D394" s="54"/>
    </row>
    <row r="395" spans="4:4" x14ac:dyDescent="0.2">
      <c r="D395" s="54"/>
    </row>
    <row r="396" spans="4:4" x14ac:dyDescent="0.2">
      <c r="D396" s="54"/>
    </row>
    <row r="397" spans="4:4" x14ac:dyDescent="0.2">
      <c r="D397" s="54"/>
    </row>
    <row r="398" spans="4:4" x14ac:dyDescent="0.2">
      <c r="D398" s="54"/>
    </row>
    <row r="399" spans="4:4" x14ac:dyDescent="0.2">
      <c r="D399" s="54"/>
    </row>
    <row r="400" spans="4:4" x14ac:dyDescent="0.2">
      <c r="D400" s="54"/>
    </row>
    <row r="401" spans="4:4" x14ac:dyDescent="0.2">
      <c r="D401" s="54"/>
    </row>
    <row r="402" spans="4:4" x14ac:dyDescent="0.2">
      <c r="D402" s="54"/>
    </row>
    <row r="403" spans="4:4" x14ac:dyDescent="0.2">
      <c r="D403" s="54"/>
    </row>
    <row r="404" spans="4:4" x14ac:dyDescent="0.2">
      <c r="D404" s="54"/>
    </row>
    <row r="405" spans="4:4" x14ac:dyDescent="0.2">
      <c r="D405" s="54"/>
    </row>
    <row r="406" spans="4:4" x14ac:dyDescent="0.2">
      <c r="D406" s="54"/>
    </row>
    <row r="407" spans="4:4" x14ac:dyDescent="0.2">
      <c r="D407" s="54"/>
    </row>
    <row r="408" spans="4:4" x14ac:dyDescent="0.2">
      <c r="D408" s="54"/>
    </row>
    <row r="409" spans="4:4" x14ac:dyDescent="0.2">
      <c r="D409" s="54"/>
    </row>
    <row r="410" spans="4:4" x14ac:dyDescent="0.2">
      <c r="D410" s="54"/>
    </row>
    <row r="411" spans="4:4" x14ac:dyDescent="0.2">
      <c r="D411" s="54"/>
    </row>
    <row r="412" spans="4:4" x14ac:dyDescent="0.2">
      <c r="D412" s="54"/>
    </row>
    <row r="413" spans="4:4" x14ac:dyDescent="0.2">
      <c r="D413" s="54"/>
    </row>
    <row r="414" spans="4:4" x14ac:dyDescent="0.2">
      <c r="D414" s="54"/>
    </row>
    <row r="415" spans="4:4" x14ac:dyDescent="0.2">
      <c r="D415" s="54"/>
    </row>
    <row r="416" spans="4:4" x14ac:dyDescent="0.2">
      <c r="D416" s="54"/>
    </row>
    <row r="417" spans="4:4" x14ac:dyDescent="0.2">
      <c r="D417" s="54"/>
    </row>
    <row r="418" spans="4:4" x14ac:dyDescent="0.2">
      <c r="D418" s="54"/>
    </row>
    <row r="419" spans="4:4" x14ac:dyDescent="0.2">
      <c r="D419" s="54"/>
    </row>
    <row r="420" spans="4:4" x14ac:dyDescent="0.2">
      <c r="D420" s="54"/>
    </row>
    <row r="421" spans="4:4" x14ac:dyDescent="0.2">
      <c r="D421" s="54"/>
    </row>
    <row r="422" spans="4:4" x14ac:dyDescent="0.2">
      <c r="D422" s="54"/>
    </row>
    <row r="423" spans="4:4" x14ac:dyDescent="0.2">
      <c r="D423" s="54"/>
    </row>
    <row r="424" spans="4:4" x14ac:dyDescent="0.2">
      <c r="D424" s="54"/>
    </row>
    <row r="425" spans="4:4" x14ac:dyDescent="0.2">
      <c r="D425" s="54"/>
    </row>
    <row r="426" spans="4:4" x14ac:dyDescent="0.2">
      <c r="D426" s="54"/>
    </row>
    <row r="427" spans="4:4" x14ac:dyDescent="0.2">
      <c r="D427" s="54"/>
    </row>
    <row r="428" spans="4:4" x14ac:dyDescent="0.2">
      <c r="D428" s="54"/>
    </row>
    <row r="429" spans="4:4" x14ac:dyDescent="0.2">
      <c r="D429" s="54"/>
    </row>
    <row r="430" spans="4:4" x14ac:dyDescent="0.2">
      <c r="D430" s="54"/>
    </row>
    <row r="431" spans="4:4" x14ac:dyDescent="0.2">
      <c r="D431" s="54"/>
    </row>
    <row r="432" spans="4:4" x14ac:dyDescent="0.2">
      <c r="D432" s="54"/>
    </row>
    <row r="433" spans="4:4" x14ac:dyDescent="0.2">
      <c r="D433" s="54"/>
    </row>
    <row r="434" spans="4:4" x14ac:dyDescent="0.2">
      <c r="D434" s="54"/>
    </row>
    <row r="435" spans="4:4" x14ac:dyDescent="0.2">
      <c r="D435" s="54"/>
    </row>
    <row r="436" spans="4:4" x14ac:dyDescent="0.2">
      <c r="D436" s="54"/>
    </row>
    <row r="437" spans="4:4" x14ac:dyDescent="0.2">
      <c r="D437" s="54"/>
    </row>
    <row r="438" spans="4:4" x14ac:dyDescent="0.2">
      <c r="D438" s="54"/>
    </row>
    <row r="439" spans="4:4" x14ac:dyDescent="0.2">
      <c r="D439" s="54"/>
    </row>
    <row r="440" spans="4:4" x14ac:dyDescent="0.2">
      <c r="D440" s="54"/>
    </row>
    <row r="441" spans="4:4" x14ac:dyDescent="0.2">
      <c r="D441" s="54"/>
    </row>
    <row r="442" spans="4:4" x14ac:dyDescent="0.2">
      <c r="D442" s="54"/>
    </row>
    <row r="443" spans="4:4" x14ac:dyDescent="0.2">
      <c r="D443" s="54"/>
    </row>
    <row r="444" spans="4:4" x14ac:dyDescent="0.2">
      <c r="D444" s="54"/>
    </row>
    <row r="445" spans="4:4" x14ac:dyDescent="0.2">
      <c r="D445" s="54"/>
    </row>
    <row r="446" spans="4:4" x14ac:dyDescent="0.2">
      <c r="D446" s="54"/>
    </row>
    <row r="447" spans="4:4" x14ac:dyDescent="0.2">
      <c r="D447" s="54"/>
    </row>
    <row r="448" spans="4:4" x14ac:dyDescent="0.2">
      <c r="D448" s="54"/>
    </row>
    <row r="449" spans="4:4" x14ac:dyDescent="0.2">
      <c r="D449" s="54"/>
    </row>
    <row r="450" spans="4:4" x14ac:dyDescent="0.2">
      <c r="D450" s="54"/>
    </row>
    <row r="451" spans="4:4" x14ac:dyDescent="0.2">
      <c r="D451" s="54"/>
    </row>
    <row r="452" spans="4:4" x14ac:dyDescent="0.2">
      <c r="D452" s="54"/>
    </row>
    <row r="453" spans="4:4" x14ac:dyDescent="0.2">
      <c r="D453" s="54"/>
    </row>
    <row r="454" spans="4:4" x14ac:dyDescent="0.2">
      <c r="D454" s="54"/>
    </row>
    <row r="455" spans="4:4" x14ac:dyDescent="0.2">
      <c r="D455" s="54"/>
    </row>
    <row r="456" spans="4:4" x14ac:dyDescent="0.2">
      <c r="D456" s="54"/>
    </row>
    <row r="457" spans="4:4" x14ac:dyDescent="0.2">
      <c r="D457" s="54"/>
    </row>
    <row r="458" spans="4:4" x14ac:dyDescent="0.2">
      <c r="D458" s="54"/>
    </row>
    <row r="459" spans="4:4" x14ac:dyDescent="0.2">
      <c r="D459" s="54"/>
    </row>
    <row r="460" spans="4:4" x14ac:dyDescent="0.2">
      <c r="D460" s="54"/>
    </row>
    <row r="461" spans="4:4" x14ac:dyDescent="0.2">
      <c r="D461" s="54"/>
    </row>
    <row r="462" spans="4:4" x14ac:dyDescent="0.2">
      <c r="D462" s="54"/>
    </row>
    <row r="463" spans="4:4" x14ac:dyDescent="0.2">
      <c r="D463" s="54"/>
    </row>
    <row r="464" spans="4:4" x14ac:dyDescent="0.2">
      <c r="D464" s="54"/>
    </row>
    <row r="465" spans="4:4" x14ac:dyDescent="0.2">
      <c r="D465" s="54"/>
    </row>
    <row r="466" spans="4:4" x14ac:dyDescent="0.2">
      <c r="D466" s="54"/>
    </row>
    <row r="467" spans="4:4" x14ac:dyDescent="0.2">
      <c r="D467" s="54"/>
    </row>
    <row r="468" spans="4:4" x14ac:dyDescent="0.2">
      <c r="D468" s="54"/>
    </row>
    <row r="469" spans="4:4" x14ac:dyDescent="0.2">
      <c r="D469" s="54"/>
    </row>
    <row r="470" spans="4:4" x14ac:dyDescent="0.2">
      <c r="D470" s="54"/>
    </row>
    <row r="471" spans="4:4" x14ac:dyDescent="0.2">
      <c r="D471" s="54"/>
    </row>
    <row r="472" spans="4:4" x14ac:dyDescent="0.2">
      <c r="D472" s="54"/>
    </row>
    <row r="473" spans="4:4" x14ac:dyDescent="0.2">
      <c r="D473" s="54"/>
    </row>
    <row r="474" spans="4:4" x14ac:dyDescent="0.2">
      <c r="D474" s="54"/>
    </row>
    <row r="475" spans="4:4" x14ac:dyDescent="0.2">
      <c r="D475" s="54"/>
    </row>
    <row r="476" spans="4:4" x14ac:dyDescent="0.2">
      <c r="D476" s="54"/>
    </row>
    <row r="477" spans="4:4" x14ac:dyDescent="0.2">
      <c r="D477" s="54"/>
    </row>
    <row r="478" spans="4:4" x14ac:dyDescent="0.2">
      <c r="D478" s="54"/>
    </row>
    <row r="479" spans="4:4" x14ac:dyDescent="0.2">
      <c r="D479" s="54"/>
    </row>
    <row r="480" spans="4:4" x14ac:dyDescent="0.2">
      <c r="D480" s="54"/>
    </row>
    <row r="481" spans="4:4" x14ac:dyDescent="0.2">
      <c r="D481" s="54"/>
    </row>
    <row r="482" spans="4:4" x14ac:dyDescent="0.2">
      <c r="D482" s="54"/>
    </row>
    <row r="483" spans="4:4" x14ac:dyDescent="0.2">
      <c r="D483" s="54"/>
    </row>
    <row r="484" spans="4:4" x14ac:dyDescent="0.2">
      <c r="D484" s="54"/>
    </row>
    <row r="485" spans="4:4" x14ac:dyDescent="0.2">
      <c r="D485" s="54"/>
    </row>
    <row r="486" spans="4:4" x14ac:dyDescent="0.2">
      <c r="D486" s="54"/>
    </row>
    <row r="487" spans="4:4" x14ac:dyDescent="0.2">
      <c r="D487" s="54"/>
    </row>
    <row r="488" spans="4:4" x14ac:dyDescent="0.2">
      <c r="D488" s="54"/>
    </row>
    <row r="489" spans="4:4" x14ac:dyDescent="0.2">
      <c r="D489" s="54"/>
    </row>
    <row r="490" spans="4:4" x14ac:dyDescent="0.2">
      <c r="D490" s="54"/>
    </row>
    <row r="491" spans="4:4" x14ac:dyDescent="0.2">
      <c r="D491" s="54"/>
    </row>
    <row r="492" spans="4:4" x14ac:dyDescent="0.2">
      <c r="D492" s="54"/>
    </row>
    <row r="493" spans="4:4" x14ac:dyDescent="0.2">
      <c r="D493" s="54"/>
    </row>
    <row r="494" spans="4:4" x14ac:dyDescent="0.2">
      <c r="D494" s="54"/>
    </row>
    <row r="495" spans="4:4" x14ac:dyDescent="0.2">
      <c r="D495" s="54"/>
    </row>
    <row r="496" spans="4:4" x14ac:dyDescent="0.2">
      <c r="D496" s="54"/>
    </row>
    <row r="497" spans="4:4" x14ac:dyDescent="0.2">
      <c r="D497" s="54"/>
    </row>
    <row r="498" spans="4:4" x14ac:dyDescent="0.2">
      <c r="D498" s="54"/>
    </row>
    <row r="499" spans="4:4" x14ac:dyDescent="0.2">
      <c r="D499" s="54"/>
    </row>
    <row r="500" spans="4:4" x14ac:dyDescent="0.2">
      <c r="D500" s="54"/>
    </row>
    <row r="501" spans="4:4" x14ac:dyDescent="0.2">
      <c r="D501" s="54"/>
    </row>
    <row r="502" spans="4:4" x14ac:dyDescent="0.2">
      <c r="D502" s="54"/>
    </row>
    <row r="503" spans="4:4" x14ac:dyDescent="0.2">
      <c r="D503" s="54"/>
    </row>
    <row r="504" spans="4:4" x14ac:dyDescent="0.2">
      <c r="D504" s="54"/>
    </row>
    <row r="505" spans="4:4" x14ac:dyDescent="0.2">
      <c r="D505" s="54"/>
    </row>
    <row r="506" spans="4:4" x14ac:dyDescent="0.2">
      <c r="D506" s="54"/>
    </row>
    <row r="507" spans="4:4" x14ac:dyDescent="0.2">
      <c r="D507" s="54"/>
    </row>
    <row r="508" spans="4:4" x14ac:dyDescent="0.2">
      <c r="D508" s="54"/>
    </row>
    <row r="509" spans="4:4" x14ac:dyDescent="0.2">
      <c r="D509" s="54"/>
    </row>
    <row r="510" spans="4:4" x14ac:dyDescent="0.2">
      <c r="D510" s="54"/>
    </row>
    <row r="511" spans="4:4" x14ac:dyDescent="0.2">
      <c r="D511" s="54"/>
    </row>
    <row r="512" spans="4:4" x14ac:dyDescent="0.2">
      <c r="D512" s="54"/>
    </row>
    <row r="513" spans="4:4" x14ac:dyDescent="0.2">
      <c r="D513" s="54"/>
    </row>
    <row r="514" spans="4:4" x14ac:dyDescent="0.2">
      <c r="D514" s="54"/>
    </row>
    <row r="515" spans="4:4" x14ac:dyDescent="0.2">
      <c r="D515" s="54"/>
    </row>
    <row r="516" spans="4:4" x14ac:dyDescent="0.2">
      <c r="D516" s="54"/>
    </row>
    <row r="517" spans="4:4" x14ac:dyDescent="0.2">
      <c r="D517" s="54"/>
    </row>
    <row r="518" spans="4:4" x14ac:dyDescent="0.2">
      <c r="D518" s="54"/>
    </row>
    <row r="519" spans="4:4" x14ac:dyDescent="0.2">
      <c r="D519" s="54"/>
    </row>
    <row r="520" spans="4:4" x14ac:dyDescent="0.2">
      <c r="D520" s="54"/>
    </row>
    <row r="521" spans="4:4" x14ac:dyDescent="0.2">
      <c r="D521" s="54"/>
    </row>
    <row r="522" spans="4:4" x14ac:dyDescent="0.2">
      <c r="D522" s="54"/>
    </row>
    <row r="523" spans="4:4" x14ac:dyDescent="0.2">
      <c r="D523" s="54"/>
    </row>
    <row r="524" spans="4:4" x14ac:dyDescent="0.2">
      <c r="D524" s="54"/>
    </row>
    <row r="525" spans="4:4" x14ac:dyDescent="0.2">
      <c r="D525" s="54"/>
    </row>
    <row r="526" spans="4:4" x14ac:dyDescent="0.2">
      <c r="D526" s="54"/>
    </row>
    <row r="527" spans="4:4" x14ac:dyDescent="0.2">
      <c r="D527" s="54"/>
    </row>
    <row r="528" spans="4:4" x14ac:dyDescent="0.2">
      <c r="D528" s="54"/>
    </row>
    <row r="529" spans="4:4" x14ac:dyDescent="0.2">
      <c r="D529" s="54"/>
    </row>
    <row r="530" spans="4:4" x14ac:dyDescent="0.2">
      <c r="D530" s="54"/>
    </row>
    <row r="531" spans="4:4" x14ac:dyDescent="0.2">
      <c r="D531" s="54"/>
    </row>
    <row r="532" spans="4:4" x14ac:dyDescent="0.2">
      <c r="D532" s="54"/>
    </row>
    <row r="533" spans="4:4" x14ac:dyDescent="0.2">
      <c r="D533" s="54"/>
    </row>
    <row r="534" spans="4:4" x14ac:dyDescent="0.2">
      <c r="D534" s="54"/>
    </row>
    <row r="535" spans="4:4" x14ac:dyDescent="0.2">
      <c r="D535" s="54"/>
    </row>
    <row r="536" spans="4:4" x14ac:dyDescent="0.2">
      <c r="D536" s="54"/>
    </row>
    <row r="537" spans="4:4" x14ac:dyDescent="0.2">
      <c r="D537" s="54"/>
    </row>
    <row r="538" spans="4:4" x14ac:dyDescent="0.2">
      <c r="D538" s="54"/>
    </row>
    <row r="539" spans="4:4" x14ac:dyDescent="0.2">
      <c r="D539" s="54"/>
    </row>
    <row r="540" spans="4:4" x14ac:dyDescent="0.2">
      <c r="D540" s="54"/>
    </row>
    <row r="541" spans="4:4" x14ac:dyDescent="0.2">
      <c r="D541" s="54"/>
    </row>
    <row r="542" spans="4:4" x14ac:dyDescent="0.2">
      <c r="D542" s="54"/>
    </row>
    <row r="543" spans="4:4" x14ac:dyDescent="0.2">
      <c r="D543" s="54"/>
    </row>
    <row r="544" spans="4:4" x14ac:dyDescent="0.2">
      <c r="D544" s="54"/>
    </row>
    <row r="545" spans="4:4" x14ac:dyDescent="0.2">
      <c r="D545" s="54"/>
    </row>
    <row r="546" spans="4:4" x14ac:dyDescent="0.2">
      <c r="D546" s="54"/>
    </row>
    <row r="547" spans="4:4" x14ac:dyDescent="0.2">
      <c r="D547" s="54"/>
    </row>
    <row r="548" spans="4:4" x14ac:dyDescent="0.2">
      <c r="D548" s="54"/>
    </row>
    <row r="549" spans="4:4" x14ac:dyDescent="0.2">
      <c r="D549" s="54"/>
    </row>
    <row r="550" spans="4:4" x14ac:dyDescent="0.2">
      <c r="D550" s="54"/>
    </row>
    <row r="551" spans="4:4" x14ac:dyDescent="0.2">
      <c r="D551" s="54"/>
    </row>
    <row r="552" spans="4:4" x14ac:dyDescent="0.2">
      <c r="D552" s="54"/>
    </row>
    <row r="553" spans="4:4" x14ac:dyDescent="0.2">
      <c r="D553" s="54"/>
    </row>
    <row r="554" spans="4:4" x14ac:dyDescent="0.2">
      <c r="D554" s="54"/>
    </row>
    <row r="555" spans="4:4" x14ac:dyDescent="0.2">
      <c r="D555" s="54"/>
    </row>
    <row r="556" spans="4:4" x14ac:dyDescent="0.2">
      <c r="D556" s="54"/>
    </row>
    <row r="557" spans="4:4" x14ac:dyDescent="0.2">
      <c r="D557" s="54"/>
    </row>
    <row r="558" spans="4:4" x14ac:dyDescent="0.2">
      <c r="D558" s="54"/>
    </row>
    <row r="559" spans="4:4" x14ac:dyDescent="0.2">
      <c r="D559" s="54"/>
    </row>
    <row r="560" spans="4:4" x14ac:dyDescent="0.2">
      <c r="D560" s="54"/>
    </row>
    <row r="561" spans="4:4" x14ac:dyDescent="0.2">
      <c r="D561" s="54"/>
    </row>
    <row r="562" spans="4:4" x14ac:dyDescent="0.2">
      <c r="D562" s="54"/>
    </row>
    <row r="563" spans="4:4" x14ac:dyDescent="0.2">
      <c r="D563" s="54"/>
    </row>
    <row r="564" spans="4:4" x14ac:dyDescent="0.2">
      <c r="D564" s="54"/>
    </row>
    <row r="565" spans="4:4" x14ac:dyDescent="0.2">
      <c r="D565" s="54"/>
    </row>
    <row r="566" spans="4:4" x14ac:dyDescent="0.2">
      <c r="D566" s="54"/>
    </row>
    <row r="567" spans="4:4" x14ac:dyDescent="0.2">
      <c r="D567" s="54"/>
    </row>
    <row r="568" spans="4:4" x14ac:dyDescent="0.2">
      <c r="D568" s="54"/>
    </row>
    <row r="569" spans="4:4" x14ac:dyDescent="0.2">
      <c r="D569" s="54"/>
    </row>
    <row r="570" spans="4:4" x14ac:dyDescent="0.2">
      <c r="D570" s="54"/>
    </row>
    <row r="571" spans="4:4" x14ac:dyDescent="0.2">
      <c r="D571" s="54"/>
    </row>
    <row r="572" spans="4:4" x14ac:dyDescent="0.2">
      <c r="D572" s="54"/>
    </row>
    <row r="573" spans="4:4" x14ac:dyDescent="0.2">
      <c r="D573" s="54"/>
    </row>
    <row r="574" spans="4:4" x14ac:dyDescent="0.2">
      <c r="D574" s="54"/>
    </row>
    <row r="575" spans="4:4" x14ac:dyDescent="0.2">
      <c r="D575" s="54"/>
    </row>
    <row r="576" spans="4:4" x14ac:dyDescent="0.2">
      <c r="D576" s="54"/>
    </row>
    <row r="577" spans="4:4" x14ac:dyDescent="0.2">
      <c r="D577" s="54"/>
    </row>
    <row r="578" spans="4:4" x14ac:dyDescent="0.2">
      <c r="D578" s="54"/>
    </row>
    <row r="579" spans="4:4" x14ac:dyDescent="0.2">
      <c r="D579" s="54"/>
    </row>
    <row r="580" spans="4:4" x14ac:dyDescent="0.2">
      <c r="D580" s="54"/>
    </row>
    <row r="581" spans="4:4" x14ac:dyDescent="0.2">
      <c r="D581" s="54"/>
    </row>
    <row r="582" spans="4:4" x14ac:dyDescent="0.2">
      <c r="D582" s="54"/>
    </row>
    <row r="583" spans="4:4" x14ac:dyDescent="0.2">
      <c r="D583" s="54"/>
    </row>
    <row r="584" spans="4:4" x14ac:dyDescent="0.2">
      <c r="D584" s="54"/>
    </row>
    <row r="585" spans="4:4" x14ac:dyDescent="0.2">
      <c r="D585" s="54"/>
    </row>
    <row r="586" spans="4:4" x14ac:dyDescent="0.2">
      <c r="D586" s="54"/>
    </row>
    <row r="587" spans="4:4" x14ac:dyDescent="0.2">
      <c r="D587" s="54"/>
    </row>
    <row r="588" spans="4:4" x14ac:dyDescent="0.2">
      <c r="D588" s="54"/>
    </row>
    <row r="589" spans="4:4" x14ac:dyDescent="0.2">
      <c r="D589" s="54"/>
    </row>
    <row r="590" spans="4:4" x14ac:dyDescent="0.2">
      <c r="D590" s="54"/>
    </row>
    <row r="591" spans="4:4" x14ac:dyDescent="0.2">
      <c r="D591" s="54"/>
    </row>
    <row r="592" spans="4:4" x14ac:dyDescent="0.2">
      <c r="D592" s="54"/>
    </row>
    <row r="593" spans="4:4" x14ac:dyDescent="0.2">
      <c r="D593" s="54"/>
    </row>
    <row r="594" spans="4:4" x14ac:dyDescent="0.2">
      <c r="D594" s="54"/>
    </row>
    <row r="595" spans="4:4" x14ac:dyDescent="0.2">
      <c r="D595" s="54"/>
    </row>
    <row r="596" spans="4:4" x14ac:dyDescent="0.2">
      <c r="D596" s="54"/>
    </row>
    <row r="597" spans="4:4" x14ac:dyDescent="0.2">
      <c r="D597" s="54"/>
    </row>
    <row r="598" spans="4:4" x14ac:dyDescent="0.2">
      <c r="D598" s="54"/>
    </row>
    <row r="599" spans="4:4" x14ac:dyDescent="0.2">
      <c r="D599" s="54"/>
    </row>
    <row r="600" spans="4:4" x14ac:dyDescent="0.2">
      <c r="D600" s="54"/>
    </row>
    <row r="601" spans="4:4" x14ac:dyDescent="0.2">
      <c r="D601" s="54"/>
    </row>
    <row r="602" spans="4:4" x14ac:dyDescent="0.2">
      <c r="D602" s="54"/>
    </row>
    <row r="603" spans="4:4" x14ac:dyDescent="0.2">
      <c r="D603" s="54"/>
    </row>
    <row r="604" spans="4:4" x14ac:dyDescent="0.2">
      <c r="D604" s="54"/>
    </row>
    <row r="605" spans="4:4" x14ac:dyDescent="0.2">
      <c r="D605" s="54"/>
    </row>
    <row r="606" spans="4:4" x14ac:dyDescent="0.2">
      <c r="D606" s="54"/>
    </row>
    <row r="607" spans="4:4" x14ac:dyDescent="0.2">
      <c r="D607" s="54"/>
    </row>
    <row r="608" spans="4:4" x14ac:dyDescent="0.2">
      <c r="D608" s="54"/>
    </row>
    <row r="609" spans="4:4" x14ac:dyDescent="0.2">
      <c r="D609" s="54"/>
    </row>
    <row r="610" spans="4:4" x14ac:dyDescent="0.2">
      <c r="D610" s="54"/>
    </row>
    <row r="611" spans="4:4" x14ac:dyDescent="0.2">
      <c r="D611" s="54"/>
    </row>
    <row r="612" spans="4:4" x14ac:dyDescent="0.2">
      <c r="D612" s="54"/>
    </row>
    <row r="613" spans="4:4" x14ac:dyDescent="0.2">
      <c r="D613" s="54"/>
    </row>
    <row r="614" spans="4:4" x14ac:dyDescent="0.2">
      <c r="D614" s="54"/>
    </row>
    <row r="615" spans="4:4" x14ac:dyDescent="0.2">
      <c r="D615" s="54"/>
    </row>
    <row r="616" spans="4:4" x14ac:dyDescent="0.2">
      <c r="D616" s="54"/>
    </row>
    <row r="617" spans="4:4" x14ac:dyDescent="0.2">
      <c r="D617" s="54"/>
    </row>
    <row r="618" spans="4:4" x14ac:dyDescent="0.2">
      <c r="D618" s="54"/>
    </row>
    <row r="619" spans="4:4" x14ac:dyDescent="0.2">
      <c r="D619" s="54"/>
    </row>
    <row r="620" spans="4:4" x14ac:dyDescent="0.2">
      <c r="D620" s="54"/>
    </row>
    <row r="621" spans="4:4" x14ac:dyDescent="0.2">
      <c r="D621" s="54"/>
    </row>
    <row r="622" spans="4:4" x14ac:dyDescent="0.2">
      <c r="D622" s="54"/>
    </row>
    <row r="623" spans="4:4" x14ac:dyDescent="0.2">
      <c r="D623" s="54"/>
    </row>
    <row r="624" spans="4:4" x14ac:dyDescent="0.2">
      <c r="D624" s="54"/>
    </row>
    <row r="625" spans="4:4" x14ac:dyDescent="0.2">
      <c r="D625" s="54"/>
    </row>
    <row r="626" spans="4:4" x14ac:dyDescent="0.2">
      <c r="D626" s="54"/>
    </row>
    <row r="627" spans="4:4" x14ac:dyDescent="0.2">
      <c r="D627" s="54"/>
    </row>
    <row r="628" spans="4:4" x14ac:dyDescent="0.2">
      <c r="D628" s="54"/>
    </row>
    <row r="629" spans="4:4" x14ac:dyDescent="0.2">
      <c r="D629" s="54"/>
    </row>
    <row r="630" spans="4:4" x14ac:dyDescent="0.2">
      <c r="D630" s="54"/>
    </row>
    <row r="631" spans="4:4" x14ac:dyDescent="0.2">
      <c r="D631" s="54"/>
    </row>
    <row r="632" spans="4:4" x14ac:dyDescent="0.2">
      <c r="D632" s="54"/>
    </row>
    <row r="633" spans="4:4" x14ac:dyDescent="0.2">
      <c r="D633" s="54"/>
    </row>
    <row r="634" spans="4:4" x14ac:dyDescent="0.2">
      <c r="D634" s="54"/>
    </row>
    <row r="635" spans="4:4" x14ac:dyDescent="0.2">
      <c r="D635" s="54"/>
    </row>
    <row r="636" spans="4:4" x14ac:dyDescent="0.2">
      <c r="D636" s="54"/>
    </row>
    <row r="637" spans="4:4" x14ac:dyDescent="0.2">
      <c r="D637" s="54"/>
    </row>
    <row r="638" spans="4:4" x14ac:dyDescent="0.2">
      <c r="D638" s="54"/>
    </row>
    <row r="639" spans="4:4" x14ac:dyDescent="0.2">
      <c r="D639" s="54"/>
    </row>
    <row r="640" spans="4:4" x14ac:dyDescent="0.2">
      <c r="D640" s="54"/>
    </row>
    <row r="641" spans="4:4" x14ac:dyDescent="0.2">
      <c r="D641" s="54"/>
    </row>
    <row r="642" spans="4:4" x14ac:dyDescent="0.2">
      <c r="D642" s="54"/>
    </row>
    <row r="643" spans="4:4" x14ac:dyDescent="0.2">
      <c r="D643" s="54"/>
    </row>
    <row r="644" spans="4:4" x14ac:dyDescent="0.2">
      <c r="D644" s="54"/>
    </row>
    <row r="645" spans="4:4" x14ac:dyDescent="0.2">
      <c r="D645" s="54"/>
    </row>
    <row r="646" spans="4:4" x14ac:dyDescent="0.2">
      <c r="D646" s="54"/>
    </row>
    <row r="647" spans="4:4" x14ac:dyDescent="0.2">
      <c r="D647" s="54"/>
    </row>
    <row r="648" spans="4:4" x14ac:dyDescent="0.2">
      <c r="D648" s="54"/>
    </row>
    <row r="649" spans="4:4" x14ac:dyDescent="0.2">
      <c r="D649" s="54"/>
    </row>
    <row r="650" spans="4:4" x14ac:dyDescent="0.2">
      <c r="D650" s="54"/>
    </row>
    <row r="651" spans="4:4" x14ac:dyDescent="0.2">
      <c r="D651" s="54"/>
    </row>
    <row r="652" spans="4:4" x14ac:dyDescent="0.2">
      <c r="D652" s="54"/>
    </row>
    <row r="653" spans="4:4" x14ac:dyDescent="0.2">
      <c r="D653" s="54"/>
    </row>
    <row r="654" spans="4:4" x14ac:dyDescent="0.2">
      <c r="D654" s="54"/>
    </row>
    <row r="655" spans="4:4" x14ac:dyDescent="0.2">
      <c r="D655" s="54"/>
    </row>
    <row r="656" spans="4:4" x14ac:dyDescent="0.2">
      <c r="D656" s="54"/>
    </row>
    <row r="657" spans="4:4" x14ac:dyDescent="0.2">
      <c r="D657" s="54"/>
    </row>
    <row r="658" spans="4:4" x14ac:dyDescent="0.2">
      <c r="D658" s="54"/>
    </row>
    <row r="659" spans="4:4" x14ac:dyDescent="0.2">
      <c r="D659" s="54"/>
    </row>
    <row r="660" spans="4:4" x14ac:dyDescent="0.2">
      <c r="D660" s="54"/>
    </row>
    <row r="661" spans="4:4" x14ac:dyDescent="0.2">
      <c r="D661" s="54"/>
    </row>
    <row r="662" spans="4:4" x14ac:dyDescent="0.2">
      <c r="D662" s="54"/>
    </row>
    <row r="663" spans="4:4" x14ac:dyDescent="0.2">
      <c r="D663" s="54"/>
    </row>
    <row r="664" spans="4:4" x14ac:dyDescent="0.2">
      <c r="D664" s="54"/>
    </row>
    <row r="665" spans="4:4" x14ac:dyDescent="0.2">
      <c r="D665" s="54"/>
    </row>
    <row r="666" spans="4:4" x14ac:dyDescent="0.2">
      <c r="D666" s="54"/>
    </row>
    <row r="667" spans="4:4" x14ac:dyDescent="0.2">
      <c r="D667" s="54"/>
    </row>
    <row r="668" spans="4:4" x14ac:dyDescent="0.2">
      <c r="D668" s="54"/>
    </row>
    <row r="669" spans="4:4" x14ac:dyDescent="0.2">
      <c r="D669" s="54"/>
    </row>
    <row r="670" spans="4:4" x14ac:dyDescent="0.2">
      <c r="D670" s="54"/>
    </row>
    <row r="671" spans="4:4" x14ac:dyDescent="0.2">
      <c r="D671" s="54"/>
    </row>
    <row r="672" spans="4:4" x14ac:dyDescent="0.2">
      <c r="D672" s="54"/>
    </row>
    <row r="673" spans="4:4" x14ac:dyDescent="0.2">
      <c r="D673" s="54"/>
    </row>
    <row r="674" spans="4:4" x14ac:dyDescent="0.2">
      <c r="D674" s="54"/>
    </row>
    <row r="675" spans="4:4" x14ac:dyDescent="0.2">
      <c r="D675" s="54"/>
    </row>
    <row r="676" spans="4:4" x14ac:dyDescent="0.2">
      <c r="D676" s="54"/>
    </row>
    <row r="677" spans="4:4" x14ac:dyDescent="0.2">
      <c r="D677" s="54"/>
    </row>
    <row r="678" spans="4:4" x14ac:dyDescent="0.2">
      <c r="D678" s="54"/>
    </row>
    <row r="679" spans="4:4" x14ac:dyDescent="0.2">
      <c r="D679" s="54"/>
    </row>
    <row r="680" spans="4:4" x14ac:dyDescent="0.2">
      <c r="D680" s="54"/>
    </row>
    <row r="681" spans="4:4" x14ac:dyDescent="0.2">
      <c r="D681" s="54"/>
    </row>
    <row r="682" spans="4:4" x14ac:dyDescent="0.2">
      <c r="D682" s="54"/>
    </row>
    <row r="683" spans="4:4" x14ac:dyDescent="0.2">
      <c r="D683" s="54"/>
    </row>
    <row r="684" spans="4:4" x14ac:dyDescent="0.2">
      <c r="D684" s="54"/>
    </row>
    <row r="685" spans="4:4" x14ac:dyDescent="0.2">
      <c r="D685" s="54"/>
    </row>
    <row r="686" spans="4:4" x14ac:dyDescent="0.2">
      <c r="D686" s="54"/>
    </row>
    <row r="687" spans="4:4" x14ac:dyDescent="0.2">
      <c r="D687" s="54"/>
    </row>
    <row r="688" spans="4:4" x14ac:dyDescent="0.2">
      <c r="D688" s="54"/>
    </row>
    <row r="689" spans="4:4" x14ac:dyDescent="0.2">
      <c r="D689" s="54"/>
    </row>
    <row r="690" spans="4:4" x14ac:dyDescent="0.2">
      <c r="D690" s="54"/>
    </row>
    <row r="691" spans="4:4" x14ac:dyDescent="0.2">
      <c r="D691" s="54"/>
    </row>
    <row r="692" spans="4:4" x14ac:dyDescent="0.2">
      <c r="D692" s="54"/>
    </row>
    <row r="693" spans="4:4" x14ac:dyDescent="0.2">
      <c r="D693" s="54"/>
    </row>
    <row r="694" spans="4:4" x14ac:dyDescent="0.2">
      <c r="D694" s="54"/>
    </row>
    <row r="695" spans="4:4" x14ac:dyDescent="0.2">
      <c r="D695" s="54"/>
    </row>
    <row r="696" spans="4:4" x14ac:dyDescent="0.2">
      <c r="D696" s="54"/>
    </row>
    <row r="697" spans="4:4" x14ac:dyDescent="0.2">
      <c r="D697" s="54"/>
    </row>
    <row r="698" spans="4:4" x14ac:dyDescent="0.2">
      <c r="D698" s="54"/>
    </row>
    <row r="699" spans="4:4" x14ac:dyDescent="0.2">
      <c r="D699" s="54"/>
    </row>
    <row r="700" spans="4:4" x14ac:dyDescent="0.2">
      <c r="D700" s="54"/>
    </row>
    <row r="701" spans="4:4" x14ac:dyDescent="0.2">
      <c r="D701" s="54"/>
    </row>
    <row r="702" spans="4:4" x14ac:dyDescent="0.2">
      <c r="D702" s="54"/>
    </row>
    <row r="703" spans="4:4" x14ac:dyDescent="0.2">
      <c r="D703" s="54"/>
    </row>
    <row r="704" spans="4:4" x14ac:dyDescent="0.2">
      <c r="D704" s="54"/>
    </row>
    <row r="705" spans="4:4" x14ac:dyDescent="0.2">
      <c r="D705" s="54"/>
    </row>
    <row r="706" spans="4:4" x14ac:dyDescent="0.2">
      <c r="D706" s="54"/>
    </row>
    <row r="707" spans="4:4" x14ac:dyDescent="0.2">
      <c r="D707" s="54"/>
    </row>
    <row r="708" spans="4:4" x14ac:dyDescent="0.2">
      <c r="D708" s="54"/>
    </row>
    <row r="709" spans="4:4" x14ac:dyDescent="0.2">
      <c r="D709" s="54"/>
    </row>
    <row r="710" spans="4:4" x14ac:dyDescent="0.2">
      <c r="D710" s="54"/>
    </row>
    <row r="711" spans="4:4" x14ac:dyDescent="0.2">
      <c r="D711" s="54"/>
    </row>
    <row r="712" spans="4:4" x14ac:dyDescent="0.2">
      <c r="D712" s="54"/>
    </row>
    <row r="713" spans="4:4" x14ac:dyDescent="0.2">
      <c r="D713" s="54"/>
    </row>
    <row r="714" spans="4:4" x14ac:dyDescent="0.2">
      <c r="D714" s="54"/>
    </row>
    <row r="715" spans="4:4" x14ac:dyDescent="0.2">
      <c r="D715" s="54"/>
    </row>
    <row r="716" spans="4:4" x14ac:dyDescent="0.2">
      <c r="D716" s="54"/>
    </row>
    <row r="717" spans="4:4" x14ac:dyDescent="0.2">
      <c r="D717" s="54"/>
    </row>
    <row r="718" spans="4:4" x14ac:dyDescent="0.2">
      <c r="D718" s="54"/>
    </row>
    <row r="719" spans="4:4" x14ac:dyDescent="0.2">
      <c r="D719" s="54"/>
    </row>
    <row r="720" spans="4:4" x14ac:dyDescent="0.2">
      <c r="D720" s="54"/>
    </row>
    <row r="721" spans="4:4" x14ac:dyDescent="0.2">
      <c r="D721" s="54"/>
    </row>
    <row r="722" spans="4:4" x14ac:dyDescent="0.2">
      <c r="D722" s="54"/>
    </row>
    <row r="723" spans="4:4" x14ac:dyDescent="0.2">
      <c r="D723" s="54"/>
    </row>
    <row r="724" spans="4:4" x14ac:dyDescent="0.2">
      <c r="D724" s="54"/>
    </row>
    <row r="725" spans="4:4" x14ac:dyDescent="0.2">
      <c r="D725" s="54"/>
    </row>
    <row r="726" spans="4:4" x14ac:dyDescent="0.2">
      <c r="D726" s="54"/>
    </row>
    <row r="727" spans="4:4" x14ac:dyDescent="0.2">
      <c r="D727" s="54"/>
    </row>
    <row r="728" spans="4:4" x14ac:dyDescent="0.2">
      <c r="D728" s="54"/>
    </row>
    <row r="729" spans="4:4" x14ac:dyDescent="0.2">
      <c r="D729" s="54"/>
    </row>
    <row r="730" spans="4:4" x14ac:dyDescent="0.2">
      <c r="D730" s="54"/>
    </row>
    <row r="731" spans="4:4" x14ac:dyDescent="0.2">
      <c r="D731" s="54"/>
    </row>
    <row r="732" spans="4:4" x14ac:dyDescent="0.2">
      <c r="D732" s="54"/>
    </row>
    <row r="733" spans="4:4" x14ac:dyDescent="0.2">
      <c r="D733" s="54"/>
    </row>
    <row r="734" spans="4:4" x14ac:dyDescent="0.2">
      <c r="D734" s="54"/>
    </row>
    <row r="735" spans="4:4" x14ac:dyDescent="0.2">
      <c r="D735" s="54"/>
    </row>
    <row r="736" spans="4:4" x14ac:dyDescent="0.2">
      <c r="D736" s="54"/>
    </row>
    <row r="737" spans="4:4" x14ac:dyDescent="0.2">
      <c r="D737" s="54"/>
    </row>
    <row r="738" spans="4:4" x14ac:dyDescent="0.2">
      <c r="D738" s="54"/>
    </row>
    <row r="739" spans="4:4" x14ac:dyDescent="0.2">
      <c r="D739" s="54"/>
    </row>
    <row r="740" spans="4:4" x14ac:dyDescent="0.2">
      <c r="D740" s="54"/>
    </row>
    <row r="741" spans="4:4" x14ac:dyDescent="0.2">
      <c r="D741" s="54"/>
    </row>
    <row r="742" spans="4:4" x14ac:dyDescent="0.2">
      <c r="D742" s="54"/>
    </row>
    <row r="743" spans="4:4" x14ac:dyDescent="0.2">
      <c r="D743" s="54"/>
    </row>
    <row r="744" spans="4:4" x14ac:dyDescent="0.2">
      <c r="D744" s="54"/>
    </row>
    <row r="745" spans="4:4" x14ac:dyDescent="0.2">
      <c r="D745" s="54"/>
    </row>
    <row r="746" spans="4:4" x14ac:dyDescent="0.2">
      <c r="D746" s="54"/>
    </row>
    <row r="747" spans="4:4" x14ac:dyDescent="0.2">
      <c r="D747" s="54"/>
    </row>
    <row r="748" spans="4:4" x14ac:dyDescent="0.2">
      <c r="D748" s="54"/>
    </row>
    <row r="749" spans="4:4" x14ac:dyDescent="0.2">
      <c r="D749" s="54"/>
    </row>
    <row r="750" spans="4:4" x14ac:dyDescent="0.2">
      <c r="D750" s="54"/>
    </row>
    <row r="751" spans="4:4" x14ac:dyDescent="0.2">
      <c r="D751" s="54"/>
    </row>
    <row r="752" spans="4:4" x14ac:dyDescent="0.2">
      <c r="D752" s="54"/>
    </row>
    <row r="753" spans="4:4" x14ac:dyDescent="0.2">
      <c r="D753" s="54"/>
    </row>
    <row r="754" spans="4:4" x14ac:dyDescent="0.2">
      <c r="D754" s="54"/>
    </row>
    <row r="755" spans="4:4" x14ac:dyDescent="0.2">
      <c r="D755" s="54"/>
    </row>
    <row r="756" spans="4:4" x14ac:dyDescent="0.2">
      <c r="D756" s="54"/>
    </row>
    <row r="757" spans="4:4" x14ac:dyDescent="0.2">
      <c r="D757" s="54"/>
    </row>
    <row r="758" spans="4:4" x14ac:dyDescent="0.2">
      <c r="D758" s="54"/>
    </row>
    <row r="759" spans="4:4" x14ac:dyDescent="0.2">
      <c r="D759" s="54"/>
    </row>
    <row r="760" spans="4:4" x14ac:dyDescent="0.2">
      <c r="D760" s="54"/>
    </row>
    <row r="761" spans="4:4" x14ac:dyDescent="0.2">
      <c r="D761" s="54"/>
    </row>
    <row r="762" spans="4:4" x14ac:dyDescent="0.2">
      <c r="D762" s="54"/>
    </row>
    <row r="763" spans="4:4" x14ac:dyDescent="0.2">
      <c r="D763" s="54"/>
    </row>
    <row r="764" spans="4:4" x14ac:dyDescent="0.2">
      <c r="D764" s="54"/>
    </row>
    <row r="765" spans="4:4" x14ac:dyDescent="0.2">
      <c r="D765" s="54"/>
    </row>
    <row r="766" spans="4:4" x14ac:dyDescent="0.2">
      <c r="D766" s="54"/>
    </row>
    <row r="767" spans="4:4" x14ac:dyDescent="0.2">
      <c r="D767" s="54"/>
    </row>
    <row r="768" spans="4:4" x14ac:dyDescent="0.2">
      <c r="D768" s="54"/>
    </row>
    <row r="769" spans="4:4" x14ac:dyDescent="0.2">
      <c r="D769" s="54"/>
    </row>
    <row r="770" spans="4:4" x14ac:dyDescent="0.2">
      <c r="D770" s="54"/>
    </row>
    <row r="771" spans="4:4" x14ac:dyDescent="0.2">
      <c r="D771" s="54"/>
    </row>
    <row r="772" spans="4:4" x14ac:dyDescent="0.2">
      <c r="D772" s="54"/>
    </row>
    <row r="773" spans="4:4" x14ac:dyDescent="0.2">
      <c r="D773" s="54"/>
    </row>
    <row r="774" spans="4:4" x14ac:dyDescent="0.2">
      <c r="D774" s="54"/>
    </row>
    <row r="775" spans="4:4" x14ac:dyDescent="0.2">
      <c r="D775" s="54"/>
    </row>
    <row r="776" spans="4:4" x14ac:dyDescent="0.2">
      <c r="D776" s="54"/>
    </row>
    <row r="777" spans="4:4" x14ac:dyDescent="0.2">
      <c r="D777" s="54"/>
    </row>
    <row r="778" spans="4:4" x14ac:dyDescent="0.2">
      <c r="D778" s="54"/>
    </row>
    <row r="779" spans="4:4" x14ac:dyDescent="0.2">
      <c r="D779" s="54"/>
    </row>
    <row r="780" spans="4:4" x14ac:dyDescent="0.2">
      <c r="D780" s="54"/>
    </row>
    <row r="781" spans="4:4" x14ac:dyDescent="0.2">
      <c r="D781" s="54"/>
    </row>
    <row r="782" spans="4:4" x14ac:dyDescent="0.2">
      <c r="D782" s="54"/>
    </row>
    <row r="783" spans="4:4" x14ac:dyDescent="0.2">
      <c r="D783" s="54"/>
    </row>
    <row r="784" spans="4:4" x14ac:dyDescent="0.2">
      <c r="D784" s="54"/>
    </row>
    <row r="785" spans="4:4" x14ac:dyDescent="0.2">
      <c r="D785" s="54"/>
    </row>
    <row r="786" spans="4:4" x14ac:dyDescent="0.2">
      <c r="D786" s="54"/>
    </row>
    <row r="787" spans="4:4" x14ac:dyDescent="0.2">
      <c r="D787" s="54"/>
    </row>
    <row r="788" spans="4:4" x14ac:dyDescent="0.2">
      <c r="D788" s="54"/>
    </row>
    <row r="789" spans="4:4" x14ac:dyDescent="0.2">
      <c r="D789" s="54"/>
    </row>
    <row r="790" spans="4:4" x14ac:dyDescent="0.2">
      <c r="D790" s="54"/>
    </row>
    <row r="791" spans="4:4" x14ac:dyDescent="0.2">
      <c r="D791" s="54"/>
    </row>
    <row r="792" spans="4:4" x14ac:dyDescent="0.2">
      <c r="D792" s="54"/>
    </row>
    <row r="793" spans="4:4" x14ac:dyDescent="0.2">
      <c r="D793" s="54"/>
    </row>
    <row r="794" spans="4:4" x14ac:dyDescent="0.2">
      <c r="D794" s="54"/>
    </row>
    <row r="795" spans="4:4" x14ac:dyDescent="0.2">
      <c r="D795" s="54"/>
    </row>
    <row r="796" spans="4:4" x14ac:dyDescent="0.2">
      <c r="D796" s="54"/>
    </row>
    <row r="797" spans="4:4" x14ac:dyDescent="0.2">
      <c r="D797" s="54"/>
    </row>
    <row r="798" spans="4:4" x14ac:dyDescent="0.2">
      <c r="D798" s="54"/>
    </row>
    <row r="799" spans="4:4" x14ac:dyDescent="0.2">
      <c r="D799" s="54"/>
    </row>
    <row r="800" spans="4:4" x14ac:dyDescent="0.2">
      <c r="D800" s="54"/>
    </row>
    <row r="801" spans="4:4" x14ac:dyDescent="0.2">
      <c r="D801" s="54"/>
    </row>
    <row r="802" spans="4:4" x14ac:dyDescent="0.2">
      <c r="D802" s="54"/>
    </row>
    <row r="803" spans="4:4" x14ac:dyDescent="0.2">
      <c r="D803" s="54"/>
    </row>
    <row r="804" spans="4:4" x14ac:dyDescent="0.2">
      <c r="D804" s="54"/>
    </row>
    <row r="805" spans="4:4" x14ac:dyDescent="0.2">
      <c r="D805" s="54"/>
    </row>
    <row r="806" spans="4:4" x14ac:dyDescent="0.2">
      <c r="D806" s="54"/>
    </row>
    <row r="807" spans="4:4" x14ac:dyDescent="0.2">
      <c r="D807" s="54"/>
    </row>
    <row r="808" spans="4:4" x14ac:dyDescent="0.2">
      <c r="D808" s="54"/>
    </row>
    <row r="809" spans="4:4" x14ac:dyDescent="0.2">
      <c r="D809" s="54"/>
    </row>
    <row r="810" spans="4:4" x14ac:dyDescent="0.2">
      <c r="D810" s="54"/>
    </row>
    <row r="811" spans="4:4" x14ac:dyDescent="0.2">
      <c r="D811" s="54"/>
    </row>
    <row r="812" spans="4:4" x14ac:dyDescent="0.2">
      <c r="D812" s="54"/>
    </row>
    <row r="813" spans="4:4" x14ac:dyDescent="0.2">
      <c r="D813" s="54"/>
    </row>
    <row r="814" spans="4:4" x14ac:dyDescent="0.2">
      <c r="D814" s="54"/>
    </row>
    <row r="815" spans="4:4" x14ac:dyDescent="0.2">
      <c r="D815" s="54"/>
    </row>
    <row r="816" spans="4:4" x14ac:dyDescent="0.2">
      <c r="D816" s="54"/>
    </row>
    <row r="817" spans="4:4" x14ac:dyDescent="0.2">
      <c r="D817" s="54"/>
    </row>
    <row r="818" spans="4:4" x14ac:dyDescent="0.2">
      <c r="D818" s="54"/>
    </row>
    <row r="819" spans="4:4" x14ac:dyDescent="0.2">
      <c r="D819" s="54"/>
    </row>
    <row r="820" spans="4:4" x14ac:dyDescent="0.2">
      <c r="D820" s="54"/>
    </row>
    <row r="821" spans="4:4" x14ac:dyDescent="0.2">
      <c r="D821" s="54"/>
    </row>
    <row r="822" spans="4:4" x14ac:dyDescent="0.2">
      <c r="D822" s="54"/>
    </row>
    <row r="823" spans="4:4" x14ac:dyDescent="0.2">
      <c r="D823" s="54"/>
    </row>
    <row r="824" spans="4:4" x14ac:dyDescent="0.2">
      <c r="D824" s="54"/>
    </row>
    <row r="825" spans="4:4" x14ac:dyDescent="0.2">
      <c r="D825" s="54"/>
    </row>
    <row r="826" spans="4:4" x14ac:dyDescent="0.2">
      <c r="D826" s="54"/>
    </row>
    <row r="827" spans="4:4" x14ac:dyDescent="0.2">
      <c r="D827" s="54"/>
    </row>
    <row r="828" spans="4:4" x14ac:dyDescent="0.2">
      <c r="D828" s="54"/>
    </row>
    <row r="829" spans="4:4" x14ac:dyDescent="0.2">
      <c r="D829" s="54"/>
    </row>
    <row r="830" spans="4:4" x14ac:dyDescent="0.2">
      <c r="D830" s="54"/>
    </row>
    <row r="831" spans="4:4" x14ac:dyDescent="0.2">
      <c r="D831" s="54"/>
    </row>
    <row r="832" spans="4:4" x14ac:dyDescent="0.2">
      <c r="D832" s="54"/>
    </row>
    <row r="833" spans="4:4" x14ac:dyDescent="0.2">
      <c r="D833" s="54"/>
    </row>
    <row r="834" spans="4:4" x14ac:dyDescent="0.2">
      <c r="D834" s="54"/>
    </row>
    <row r="835" spans="4:4" x14ac:dyDescent="0.2">
      <c r="D835" s="54"/>
    </row>
    <row r="836" spans="4:4" x14ac:dyDescent="0.2">
      <c r="D836" s="54"/>
    </row>
    <row r="837" spans="4:4" x14ac:dyDescent="0.2">
      <c r="D837" s="54"/>
    </row>
    <row r="838" spans="4:4" x14ac:dyDescent="0.2">
      <c r="D838" s="54"/>
    </row>
    <row r="839" spans="4:4" x14ac:dyDescent="0.2">
      <c r="D839" s="54"/>
    </row>
    <row r="840" spans="4:4" x14ac:dyDescent="0.2">
      <c r="D840" s="54"/>
    </row>
    <row r="841" spans="4:4" x14ac:dyDescent="0.2">
      <c r="D841" s="54"/>
    </row>
    <row r="842" spans="4:4" x14ac:dyDescent="0.2">
      <c r="D842" s="54"/>
    </row>
    <row r="843" spans="4:4" x14ac:dyDescent="0.2">
      <c r="D843" s="54"/>
    </row>
    <row r="844" spans="4:4" x14ac:dyDescent="0.2">
      <c r="D844" s="54"/>
    </row>
    <row r="845" spans="4:4" x14ac:dyDescent="0.2">
      <c r="D845" s="54"/>
    </row>
    <row r="846" spans="4:4" x14ac:dyDescent="0.2">
      <c r="D846" s="54"/>
    </row>
    <row r="847" spans="4:4" x14ac:dyDescent="0.2">
      <c r="D847" s="54"/>
    </row>
    <row r="848" spans="4:4" x14ac:dyDescent="0.2">
      <c r="D848" s="54"/>
    </row>
    <row r="849" spans="4:4" x14ac:dyDescent="0.2">
      <c r="D849" s="54"/>
    </row>
    <row r="850" spans="4:4" x14ac:dyDescent="0.2">
      <c r="D850" s="54"/>
    </row>
    <row r="851" spans="4:4" x14ac:dyDescent="0.2">
      <c r="D851" s="54"/>
    </row>
    <row r="852" spans="4:4" x14ac:dyDescent="0.2">
      <c r="D852" s="54"/>
    </row>
    <row r="853" spans="4:4" x14ac:dyDescent="0.2">
      <c r="D853" s="54"/>
    </row>
    <row r="854" spans="4:4" x14ac:dyDescent="0.2">
      <c r="D854" s="54"/>
    </row>
    <row r="855" spans="4:4" x14ac:dyDescent="0.2">
      <c r="D855" s="54"/>
    </row>
    <row r="856" spans="4:4" x14ac:dyDescent="0.2">
      <c r="D856" s="54"/>
    </row>
    <row r="857" spans="4:4" x14ac:dyDescent="0.2">
      <c r="D857" s="54"/>
    </row>
    <row r="858" spans="4:4" x14ac:dyDescent="0.2">
      <c r="D858" s="54"/>
    </row>
    <row r="859" spans="4:4" x14ac:dyDescent="0.2">
      <c r="D859" s="54"/>
    </row>
    <row r="860" spans="4:4" x14ac:dyDescent="0.2">
      <c r="D860" s="54"/>
    </row>
    <row r="861" spans="4:4" x14ac:dyDescent="0.2">
      <c r="D861" s="54"/>
    </row>
    <row r="862" spans="4:4" x14ac:dyDescent="0.2">
      <c r="D862" s="54"/>
    </row>
    <row r="863" spans="4:4" x14ac:dyDescent="0.2">
      <c r="D863" s="54"/>
    </row>
    <row r="864" spans="4:4" x14ac:dyDescent="0.2">
      <c r="D864" s="54"/>
    </row>
    <row r="865" spans="4:4" x14ac:dyDescent="0.2">
      <c r="D865" s="54"/>
    </row>
    <row r="866" spans="4:4" x14ac:dyDescent="0.2">
      <c r="D866" s="54"/>
    </row>
    <row r="867" spans="4:4" x14ac:dyDescent="0.2">
      <c r="D867" s="54"/>
    </row>
    <row r="868" spans="4:4" x14ac:dyDescent="0.2">
      <c r="D868" s="54"/>
    </row>
    <row r="869" spans="4:4" x14ac:dyDescent="0.2">
      <c r="D869" s="54"/>
    </row>
    <row r="870" spans="4:4" x14ac:dyDescent="0.2">
      <c r="D870" s="54"/>
    </row>
    <row r="871" spans="4:4" x14ac:dyDescent="0.2">
      <c r="D871" s="54"/>
    </row>
    <row r="872" spans="4:4" x14ac:dyDescent="0.2">
      <c r="D872" s="54"/>
    </row>
    <row r="873" spans="4:4" x14ac:dyDescent="0.2">
      <c r="D873" s="54"/>
    </row>
    <row r="874" spans="4:4" x14ac:dyDescent="0.2">
      <c r="D874" s="54"/>
    </row>
    <row r="875" spans="4:4" x14ac:dyDescent="0.2">
      <c r="D875" s="54"/>
    </row>
    <row r="876" spans="4:4" x14ac:dyDescent="0.2">
      <c r="D876" s="54"/>
    </row>
    <row r="877" spans="4:4" x14ac:dyDescent="0.2">
      <c r="D877" s="54"/>
    </row>
    <row r="878" spans="4:4" x14ac:dyDescent="0.2">
      <c r="D878" s="54"/>
    </row>
    <row r="879" spans="4:4" x14ac:dyDescent="0.2">
      <c r="D879" s="54"/>
    </row>
    <row r="880" spans="4:4" x14ac:dyDescent="0.2">
      <c r="D880" s="54"/>
    </row>
    <row r="881" spans="4:4" x14ac:dyDescent="0.2">
      <c r="D881" s="54"/>
    </row>
    <row r="882" spans="4:4" x14ac:dyDescent="0.2">
      <c r="D882" s="54"/>
    </row>
    <row r="883" spans="4:4" x14ac:dyDescent="0.2">
      <c r="D883" s="54"/>
    </row>
  </sheetData>
  <autoFilter ref="A1:C883" xr:uid="{5EAEADAD-C452-4949-A17B-E3ACEA61A94B}">
    <sortState xmlns:xlrd2="http://schemas.microsoft.com/office/spreadsheetml/2017/richdata2" ref="A2:C883">
      <sortCondition ref="A1:A883"/>
    </sortState>
  </autoFilter>
  <mergeCells count="1">
    <mergeCell ref="G2:J66"/>
  </mergeCells>
  <conditionalFormatting sqref="A30">
    <cfRule type="duplicateValues" dxfId="2" priority="5"/>
  </conditionalFormatting>
  <conditionalFormatting sqref="A884:A1048576 A1:A57">
    <cfRule type="duplicateValues" dxfId="1" priority="6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ST1_raw</vt:lpstr>
      <vt:lpstr>ST2_raw</vt:lpstr>
      <vt:lpstr>ST3_raw</vt:lpstr>
      <vt:lpstr>ST4_raw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Preston, Joshua</cp:lastModifiedBy>
  <dcterms:created xsi:type="dcterms:W3CDTF">2025-05-28T15:09:58Z</dcterms:created>
  <dcterms:modified xsi:type="dcterms:W3CDTF">2025-05-29T17:16:58Z</dcterms:modified>
</cp:coreProperties>
</file>